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ThisWorkbook" defaultThemeVersion="124226"/>
  <bookViews>
    <workbookView xWindow="240" yWindow="108" windowWidth="9360" windowHeight="3120" tabRatio="927" activeTab="2"/>
  </bookViews>
  <sheets>
    <sheet name="汇总" sheetId="1" r:id="rId1"/>
    <sheet name="3-1总办办公费" sheetId="12" r:id="rId2"/>
    <sheet name="3-2移动电话费" sheetId="13" r:id="rId3"/>
    <sheet name="3-3 市内交通费" sheetId="14" r:id="rId4"/>
    <sheet name="3-4 差旅费" sheetId="15" r:id="rId5"/>
    <sheet name="3-5 业务招待费" sheetId="16" r:id="rId6"/>
    <sheet name="差旅费&amp;业务招待费" sheetId="17" r:id="rId7"/>
    <sheet name="3-6 汽车费用" sheetId="18" r:id="rId8"/>
    <sheet name="3-7 安全生产费" sheetId="23" r:id="rId9"/>
    <sheet name="3-8 环保费" sheetId="24" r:id="rId10"/>
    <sheet name="3-9绿化费" sheetId="8" r:id="rId11"/>
    <sheet name="3-10食堂费用" sheetId="6" r:id="rId12"/>
    <sheet name="3-11宿舍费用" sheetId="21" r:id="rId13"/>
    <sheet name="Sheet2" sheetId="2" r:id="rId14"/>
    <sheet name="Sheet3" sheetId="3" r:id="rId15"/>
  </sheets>
  <externalReferences>
    <externalReference r:id="rId16"/>
  </externalReferences>
  <definedNames>
    <definedName name="_xlnm._FilterDatabase" localSheetId="1" hidden="1">'3-1总办办公费'!$A$3:$BL$36</definedName>
    <definedName name="_xlnm._FilterDatabase" localSheetId="3" hidden="1">'3-3 市内交通费'!$H$2:$M$48</definedName>
    <definedName name="_xlnm._FilterDatabase" localSheetId="4" hidden="1">'3-4 差旅费'!$H$2:$L$48</definedName>
    <definedName name="_xlnm._FilterDatabase" localSheetId="5" hidden="1">'3-5 业务招待费'!$H$2:$L$48</definedName>
    <definedName name="_xlnm._FilterDatabase" localSheetId="7" hidden="1">'3-6 汽车费用'!$H$2:$J$48</definedName>
    <definedName name="_xlnm._FilterDatabase" localSheetId="8" hidden="1">'3-7 安全生产费'!$H$2:$J$47</definedName>
    <definedName name="_xlnm._FilterDatabase" localSheetId="9" hidden="1">'3-8 环保费'!$H$2:$J$47</definedName>
    <definedName name="dfg" localSheetId="11">#REF!</definedName>
    <definedName name="dfg" localSheetId="1">#REF!</definedName>
    <definedName name="dfg" localSheetId="2">#REF!</definedName>
    <definedName name="dfg" localSheetId="3">#REF!</definedName>
    <definedName name="dfg" localSheetId="5">#REF!</definedName>
    <definedName name="dfg" localSheetId="7">#REF!</definedName>
    <definedName name="dfg" localSheetId="9">#REF!</definedName>
    <definedName name="dfg" localSheetId="10">#REF!</definedName>
    <definedName name="dfg">#REF!</definedName>
    <definedName name="ghgh" localSheetId="11">#REF!</definedName>
    <definedName name="ghgh" localSheetId="1">#REF!</definedName>
    <definedName name="ghgh" localSheetId="2">#REF!</definedName>
    <definedName name="ghgh" localSheetId="3">#REF!</definedName>
    <definedName name="ghgh" localSheetId="4">#REF!</definedName>
    <definedName name="ghgh" localSheetId="5">#REF!</definedName>
    <definedName name="ghgh" localSheetId="7">#REF!</definedName>
    <definedName name="ghgh" localSheetId="8">#REF!</definedName>
    <definedName name="ghgh" localSheetId="9">#REF!</definedName>
    <definedName name="ghgh" localSheetId="10">#REF!</definedName>
    <definedName name="ghgh">#REF!</definedName>
    <definedName name="RS_1" localSheetId="11">#REF!</definedName>
    <definedName name="RS_1" localSheetId="1">#REF!</definedName>
    <definedName name="RS_1" localSheetId="2">#REF!</definedName>
    <definedName name="RS_1" localSheetId="3">#REF!</definedName>
    <definedName name="RS_1" localSheetId="4">#REF!</definedName>
    <definedName name="RS_1" localSheetId="5">#REF!</definedName>
    <definedName name="RS_1" localSheetId="7">#REF!</definedName>
    <definedName name="RS_1" localSheetId="8">#REF!</definedName>
    <definedName name="RS_1" localSheetId="9">#REF!</definedName>
    <definedName name="RS_1" localSheetId="10">#REF!</definedName>
    <definedName name="RS_1">#REF!</definedName>
    <definedName name="RS_2" localSheetId="11">#REF!</definedName>
    <definedName name="RS_2" localSheetId="1">#REF!</definedName>
    <definedName name="RS_2" localSheetId="2">#REF!</definedName>
    <definedName name="RS_2" localSheetId="3">#REF!</definedName>
    <definedName name="RS_2" localSheetId="4">#REF!</definedName>
    <definedName name="RS_2" localSheetId="5">#REF!</definedName>
    <definedName name="RS_2" localSheetId="7">#REF!</definedName>
    <definedName name="RS_2" localSheetId="8">#REF!</definedName>
    <definedName name="RS_2" localSheetId="9">#REF!</definedName>
    <definedName name="RS_2" localSheetId="10">#REF!</definedName>
    <definedName name="RS_2">#REF!</definedName>
    <definedName name="w1e" localSheetId="11">#REF!</definedName>
    <definedName name="w1e" localSheetId="1">#REF!</definedName>
    <definedName name="w1e" localSheetId="2">#REF!</definedName>
    <definedName name="w1e" localSheetId="3">#REF!</definedName>
    <definedName name="w1e" localSheetId="4">#REF!</definedName>
    <definedName name="w1e" localSheetId="5">#REF!</definedName>
    <definedName name="w1e" localSheetId="7">#REF!</definedName>
    <definedName name="w1e" localSheetId="8">#REF!</definedName>
    <definedName name="w1e" localSheetId="9">#REF!</definedName>
    <definedName name="w1e" localSheetId="10">#REF!</definedName>
    <definedName name="w1e">#REF!</definedName>
    <definedName name="yue" localSheetId="11">#REF!</definedName>
    <definedName name="yue" localSheetId="1">#REF!</definedName>
    <definedName name="yue" localSheetId="2">#REF!</definedName>
    <definedName name="yue" localSheetId="3">#REF!</definedName>
    <definedName name="yue" localSheetId="4">#REF!</definedName>
    <definedName name="yue" localSheetId="5">#REF!</definedName>
    <definedName name="yue" localSheetId="7">#REF!</definedName>
    <definedName name="yue" localSheetId="8">#REF!</definedName>
    <definedName name="yue" localSheetId="9">#REF!</definedName>
    <definedName name="yue" localSheetId="10">#REF!</definedName>
    <definedName name="yue">#REF!</definedName>
    <definedName name="表" localSheetId="11">#REF!</definedName>
    <definedName name="表" localSheetId="1">#REF!</definedName>
    <definedName name="表" localSheetId="2">#REF!</definedName>
    <definedName name="表" localSheetId="3">#REF!</definedName>
    <definedName name="表" localSheetId="5">#REF!</definedName>
    <definedName name="表" localSheetId="7">#REF!</definedName>
    <definedName name="表" localSheetId="8">#REF!</definedName>
    <definedName name="表" localSheetId="9">#REF!</definedName>
    <definedName name="表" localSheetId="10">#REF!</definedName>
    <definedName name="表">#REF!</definedName>
    <definedName name="采购" localSheetId="11">#REF!</definedName>
    <definedName name="采购" localSheetId="1">#REF!</definedName>
    <definedName name="采购" localSheetId="2">#REF!</definedName>
    <definedName name="采购" localSheetId="3">#REF!</definedName>
    <definedName name="采购" localSheetId="4">#REF!</definedName>
    <definedName name="采购" localSheetId="5">#REF!</definedName>
    <definedName name="采购" localSheetId="7">#REF!</definedName>
    <definedName name="采购" localSheetId="8">#REF!</definedName>
    <definedName name="采购" localSheetId="9">#REF!</definedName>
    <definedName name="采购" localSheetId="10">#REF!</definedName>
    <definedName name="采购">#REF!</definedName>
    <definedName name="测" localSheetId="11">#REF!</definedName>
    <definedName name="测" localSheetId="1">#REF!</definedName>
    <definedName name="测" localSheetId="2">#REF!</definedName>
    <definedName name="测" localSheetId="3">#REF!</definedName>
    <definedName name="测" localSheetId="5">#REF!</definedName>
    <definedName name="测" localSheetId="7">#REF!</definedName>
    <definedName name="测" localSheetId="8">#REF!</definedName>
    <definedName name="测" localSheetId="9">#REF!</definedName>
    <definedName name="测" localSheetId="10">#REF!</definedName>
    <definedName name="测">#REF!</definedName>
    <definedName name="车" localSheetId="11">#REF!</definedName>
    <definedName name="车" localSheetId="1">#REF!</definedName>
    <definedName name="车" localSheetId="2">#REF!</definedName>
    <definedName name="车" localSheetId="3">#REF!</definedName>
    <definedName name="车" localSheetId="5">#REF!</definedName>
    <definedName name="车" localSheetId="7">#REF!</definedName>
    <definedName name="车" localSheetId="8">#REF!</definedName>
    <definedName name="车" localSheetId="9">#REF!</definedName>
    <definedName name="车" localSheetId="10">#REF!</definedName>
    <definedName name="车">#REF!</definedName>
    <definedName name="服务费" localSheetId="11">#REF!</definedName>
    <definedName name="服务费" localSheetId="1">#REF!</definedName>
    <definedName name="服务费" localSheetId="2">#REF!</definedName>
    <definedName name="服务费" localSheetId="3">#REF!</definedName>
    <definedName name="服务费" localSheetId="5">#REF!</definedName>
    <definedName name="服务费" localSheetId="7">#REF!</definedName>
    <definedName name="服务费" localSheetId="8">#REF!</definedName>
    <definedName name="服务费" localSheetId="9">#REF!</definedName>
    <definedName name="服务费" localSheetId="10">#REF!</definedName>
    <definedName name="服务费">#REF!</definedName>
    <definedName name="复制" localSheetId="11">#REF!</definedName>
    <definedName name="复制" localSheetId="1">#REF!</definedName>
    <definedName name="复制" localSheetId="2">#REF!</definedName>
    <definedName name="复制" localSheetId="3">#REF!</definedName>
    <definedName name="复制" localSheetId="4">#REF!</definedName>
    <definedName name="复制" localSheetId="5">#REF!</definedName>
    <definedName name="复制" localSheetId="7">#REF!</definedName>
    <definedName name="复制" localSheetId="8">#REF!</definedName>
    <definedName name="复制" localSheetId="9">#REF!</definedName>
    <definedName name="复制" localSheetId="10">#REF!</definedName>
    <definedName name="复制">#REF!</definedName>
    <definedName name="个" localSheetId="11">#REF!</definedName>
    <definedName name="个" localSheetId="1">#REF!</definedName>
    <definedName name="个" localSheetId="2">#REF!</definedName>
    <definedName name="个" localSheetId="3">#REF!</definedName>
    <definedName name="个" localSheetId="4">#REF!</definedName>
    <definedName name="个" localSheetId="5">#REF!</definedName>
    <definedName name="个" localSheetId="7">#REF!</definedName>
    <definedName name="个" localSheetId="8">#REF!</definedName>
    <definedName name="个" localSheetId="9">#REF!</definedName>
    <definedName name="个" localSheetId="10">#REF!</definedName>
    <definedName name="个">#REF!</definedName>
    <definedName name="固定资产清单" localSheetId="11">#REF!</definedName>
    <definedName name="固定资产清单" localSheetId="1">#REF!</definedName>
    <definedName name="固定资产清单" localSheetId="2">#REF!</definedName>
    <definedName name="固定资产清单" localSheetId="3">#REF!</definedName>
    <definedName name="固定资产清单" localSheetId="4">#REF!</definedName>
    <definedName name="固定资产清单" localSheetId="5">#REF!</definedName>
    <definedName name="固定资产清单" localSheetId="7">#REF!</definedName>
    <definedName name="固定资产清单" localSheetId="8">#REF!</definedName>
    <definedName name="固定资产清单" localSheetId="9">#REF!</definedName>
    <definedName name="固定资产清单" localSheetId="10">#REF!</definedName>
    <definedName name="固定资产清单">#REF!</definedName>
    <definedName name="核算项目明细表" localSheetId="11">#REF!</definedName>
    <definedName name="核算项目明细表" localSheetId="1">#REF!</definedName>
    <definedName name="核算项目明细表" localSheetId="2">#REF!</definedName>
    <definedName name="核算项目明细表" localSheetId="3">#REF!</definedName>
    <definedName name="核算项目明细表" localSheetId="4">#REF!</definedName>
    <definedName name="核算项目明细表" localSheetId="5">#REF!</definedName>
    <definedName name="核算项目明细表" localSheetId="7">#REF!</definedName>
    <definedName name="核算项目明细表" localSheetId="8">#REF!</definedName>
    <definedName name="核算项目明细表" localSheetId="9">#REF!</definedName>
    <definedName name="核算项目明细表" localSheetId="10">#REF!</definedName>
    <definedName name="核算项目明细表">#REF!</definedName>
    <definedName name="去" localSheetId="11">#REF!</definedName>
    <definedName name="去" localSheetId="1">#REF!</definedName>
    <definedName name="去" localSheetId="2">#REF!</definedName>
    <definedName name="去" localSheetId="3">#REF!</definedName>
    <definedName name="去" localSheetId="4">#REF!</definedName>
    <definedName name="去" localSheetId="5">#REF!</definedName>
    <definedName name="去" localSheetId="7">#REF!</definedName>
    <definedName name="去" localSheetId="8">#REF!</definedName>
    <definedName name="去" localSheetId="9">#REF!</definedName>
    <definedName name="去" localSheetId="10">#REF!</definedName>
    <definedName name="去">#REF!</definedName>
    <definedName name="日期" localSheetId="11">[1]每月更新日期!$B$2:$B$29</definedName>
    <definedName name="日期" localSheetId="12">[1]每月更新日期!$B$2:$B$29</definedName>
    <definedName name="日期" localSheetId="1">[1]每月更新日期!$B$2:$B$29</definedName>
    <definedName name="日期" localSheetId="2">[1]每月更新日期!$B$2:$B$29</definedName>
    <definedName name="日期" localSheetId="3">[1]每月更新日期!$B$2:$B$29</definedName>
    <definedName name="日期" localSheetId="4">[1]每月更新日期!$B$2:$B$29</definedName>
    <definedName name="日期" localSheetId="5">[1]每月更新日期!$B$2:$B$29</definedName>
    <definedName name="日期" localSheetId="7">[1]每月更新日期!$B$2:$B$29</definedName>
    <definedName name="日期" localSheetId="8">[1]每月更新日期!$B$2:$B$29</definedName>
    <definedName name="日期" localSheetId="9">[1]每月更新日期!$B$2:$B$29</definedName>
    <definedName name="日期" localSheetId="10">[1]每月更新日期!$B$2:$B$29</definedName>
    <definedName name="日期">[1]每月更新日期!$B$2:$B$29</definedName>
    <definedName name="三" localSheetId="11">#REF!</definedName>
    <definedName name="三" localSheetId="1">#REF!</definedName>
    <definedName name="三" localSheetId="2">#REF!</definedName>
    <definedName name="三" localSheetId="3">#REF!</definedName>
    <definedName name="三" localSheetId="5">#REF!</definedName>
    <definedName name="三" localSheetId="7">#REF!</definedName>
    <definedName name="三" localSheetId="8">#REF!</definedName>
    <definedName name="三" localSheetId="9">#REF!</definedName>
    <definedName name="三" localSheetId="10">#REF!</definedName>
    <definedName name="三">#REF!</definedName>
    <definedName name="一" localSheetId="11">#REF!</definedName>
    <definedName name="一" localSheetId="1">#REF!</definedName>
    <definedName name="一" localSheetId="2">#REF!</definedName>
    <definedName name="一" localSheetId="3">#REF!</definedName>
    <definedName name="一" localSheetId="5">#REF!</definedName>
    <definedName name="一" localSheetId="7">#REF!</definedName>
    <definedName name="一" localSheetId="8">#REF!</definedName>
    <definedName name="一" localSheetId="9">#REF!</definedName>
    <definedName name="一" localSheetId="10">#REF!</definedName>
    <definedName name="一">#REF!</definedName>
    <definedName name="张" localSheetId="11">#REF!</definedName>
    <definedName name="张" localSheetId="10">#REF!</definedName>
    <definedName name="张">#REF!</definedName>
  </definedNames>
  <calcPr calcId="145621"/>
</workbook>
</file>

<file path=xl/calcChain.xml><?xml version="1.0" encoding="utf-8"?>
<calcChain xmlns="http://schemas.openxmlformats.org/spreadsheetml/2006/main">
  <c r="AH9" i="8" l="1"/>
  <c r="I17" i="2" l="1"/>
  <c r="K17" i="2"/>
  <c r="G17" i="2"/>
  <c r="F17" i="2"/>
  <c r="J16" i="2"/>
  <c r="N16" i="2" s="1"/>
  <c r="H16" i="2"/>
  <c r="P16" i="2" s="1"/>
  <c r="L15" i="2"/>
  <c r="L17" i="2" s="1"/>
  <c r="H15" i="2"/>
  <c r="P15" i="2" s="1"/>
  <c r="O16" i="2"/>
  <c r="O15" i="2"/>
  <c r="N15" i="2"/>
  <c r="P14" i="2"/>
  <c r="O14" i="2"/>
  <c r="N14" i="2"/>
  <c r="Q14" i="2"/>
  <c r="M17" i="2"/>
  <c r="Q16" i="2"/>
  <c r="Q15" i="2"/>
  <c r="O17" i="2" l="1"/>
  <c r="H17" i="2"/>
  <c r="J17" i="2"/>
  <c r="N17" i="2" s="1"/>
  <c r="P17" i="2"/>
  <c r="Q17" i="2"/>
  <c r="X36" i="21" l="1"/>
  <c r="Z32" i="21"/>
  <c r="Y32" i="21"/>
  <c r="X32" i="21"/>
  <c r="V32" i="21"/>
  <c r="T32" i="21"/>
  <c r="S32" i="21"/>
  <c r="P32" i="21"/>
  <c r="O32" i="21"/>
  <c r="M32" i="21"/>
  <c r="L32" i="21"/>
  <c r="K32" i="21" s="1"/>
  <c r="J32" i="21"/>
  <c r="AA22" i="21"/>
  <c r="Z22" i="21"/>
  <c r="Y22" i="21"/>
  <c r="X22" i="21"/>
  <c r="V22" i="21"/>
  <c r="T22" i="21"/>
  <c r="S22" i="21"/>
  <c r="R22" i="21"/>
  <c r="P22" i="21"/>
  <c r="O22" i="21"/>
  <c r="M22" i="21"/>
  <c r="L22" i="21"/>
  <c r="J22" i="21"/>
  <c r="I22" i="21"/>
  <c r="G22" i="21"/>
  <c r="F22" i="21"/>
  <c r="D22" i="21"/>
  <c r="E22" i="21" s="1"/>
  <c r="AA18" i="21"/>
  <c r="Z18" i="21"/>
  <c r="Y18" i="21"/>
  <c r="X18" i="21"/>
  <c r="W18" i="21" s="1"/>
  <c r="V18" i="21"/>
  <c r="T18" i="21"/>
  <c r="S18" i="21"/>
  <c r="R18" i="21"/>
  <c r="P18" i="21"/>
  <c r="O18" i="21"/>
  <c r="M18" i="21"/>
  <c r="L18" i="21"/>
  <c r="J18" i="21"/>
  <c r="I18" i="21"/>
  <c r="H18" i="21" s="1"/>
  <c r="G18" i="21"/>
  <c r="F18" i="21"/>
  <c r="D18" i="21"/>
  <c r="AA14" i="21"/>
  <c r="Z14" i="21"/>
  <c r="Y14" i="21"/>
  <c r="X14" i="21"/>
  <c r="V14" i="21"/>
  <c r="W14" i="21" s="1"/>
  <c r="T14" i="21"/>
  <c r="S14" i="21"/>
  <c r="P14" i="21"/>
  <c r="O14" i="21"/>
  <c r="M14" i="21"/>
  <c r="L14" i="21"/>
  <c r="J14" i="21"/>
  <c r="I14" i="21"/>
  <c r="G14" i="21"/>
  <c r="F14" i="21"/>
  <c r="D14" i="21"/>
  <c r="R14" i="21"/>
  <c r="AA11" i="21"/>
  <c r="Z11" i="21"/>
  <c r="Y11" i="21"/>
  <c r="X11" i="21"/>
  <c r="V11" i="21"/>
  <c r="T11" i="21"/>
  <c r="S11" i="21"/>
  <c r="P11" i="21"/>
  <c r="O11" i="21"/>
  <c r="M11" i="21"/>
  <c r="L11" i="21"/>
  <c r="J11" i="21"/>
  <c r="K11" i="21" s="1"/>
  <c r="I11" i="21"/>
  <c r="H11" i="21" s="1"/>
  <c r="G11" i="21"/>
  <c r="F11" i="21"/>
  <c r="D11" i="21"/>
  <c r="E11" i="21" s="1"/>
  <c r="R11" i="21"/>
  <c r="AA8" i="21"/>
  <c r="Z8" i="21"/>
  <c r="Y8" i="21"/>
  <c r="X8" i="21"/>
  <c r="V8" i="21"/>
  <c r="T8" i="21"/>
  <c r="S8" i="21"/>
  <c r="P8" i="21"/>
  <c r="O8" i="21"/>
  <c r="M8" i="21"/>
  <c r="L8" i="21"/>
  <c r="K8" i="21" s="1"/>
  <c r="J8" i="21"/>
  <c r="I8" i="21"/>
  <c r="H8" i="21" s="1"/>
  <c r="G8" i="21"/>
  <c r="F8" i="21"/>
  <c r="D8" i="21"/>
  <c r="R8" i="21"/>
  <c r="N11" i="21" l="1"/>
  <c r="E14" i="21"/>
  <c r="E18" i="21"/>
  <c r="K14" i="21"/>
  <c r="E8" i="21"/>
  <c r="W11" i="21"/>
  <c r="H14" i="21"/>
  <c r="N14" i="21"/>
  <c r="N32" i="21"/>
  <c r="Q22" i="21"/>
  <c r="N18" i="21"/>
  <c r="N8" i="21"/>
  <c r="J28" i="21"/>
  <c r="J33" i="21" s="1"/>
  <c r="O28" i="21"/>
  <c r="S28" i="21"/>
  <c r="S33" i="21" s="1"/>
  <c r="AB32" i="21"/>
  <c r="U18" i="21"/>
  <c r="AB18" i="21"/>
  <c r="F28" i="21"/>
  <c r="K22" i="21"/>
  <c r="P28" i="21"/>
  <c r="P33" i="21" s="1"/>
  <c r="T28" i="21"/>
  <c r="T33" i="21" s="1"/>
  <c r="W32" i="21"/>
  <c r="K18" i="21"/>
  <c r="G28" i="21"/>
  <c r="L28" i="21"/>
  <c r="U22" i="21"/>
  <c r="AB35" i="21"/>
  <c r="R32" i="21"/>
  <c r="D28" i="21"/>
  <c r="E28" i="21" s="1"/>
  <c r="I28" i="21"/>
  <c r="I32" i="21" s="1"/>
  <c r="M28" i="21"/>
  <c r="M33" i="21" s="1"/>
  <c r="AA28" i="21"/>
  <c r="AA32" i="21" s="1"/>
  <c r="V28" i="21"/>
  <c r="V33" i="21" s="1"/>
  <c r="AB8" i="21"/>
  <c r="AB11" i="21"/>
  <c r="Y28" i="21"/>
  <c r="AB14" i="21"/>
  <c r="AB22" i="21"/>
  <c r="AC22" i="21" s="1"/>
  <c r="W22" i="21"/>
  <c r="X28" i="21"/>
  <c r="W8" i="21"/>
  <c r="U11" i="21"/>
  <c r="Q11" i="21"/>
  <c r="F33" i="21"/>
  <c r="F32" i="21"/>
  <c r="Q14" i="21"/>
  <c r="G33" i="21"/>
  <c r="G32" i="21"/>
  <c r="AC18" i="21"/>
  <c r="H28" i="21"/>
  <c r="I33" i="21"/>
  <c r="H33" i="21" s="1"/>
  <c r="R28" i="21"/>
  <c r="R33" i="21" s="1"/>
  <c r="Q8" i="21"/>
  <c r="O33" i="21"/>
  <c r="N22" i="21"/>
  <c r="Z28" i="21"/>
  <c r="U8" i="21"/>
  <c r="AC8" i="21" s="1"/>
  <c r="U14" i="21"/>
  <c r="Q18" i="21"/>
  <c r="H22" i="21"/>
  <c r="D32" i="21" l="1"/>
  <c r="D33" i="21"/>
  <c r="N33" i="21"/>
  <c r="AC14" i="21"/>
  <c r="Q32" i="21"/>
  <c r="U32" i="21"/>
  <c r="AC32" i="21" s="1"/>
  <c r="AA33" i="21"/>
  <c r="K28" i="21"/>
  <c r="L33" i="21"/>
  <c r="K33" i="21" s="1"/>
  <c r="N28" i="21"/>
  <c r="AC11" i="21"/>
  <c r="Y33" i="21"/>
  <c r="W28" i="21"/>
  <c r="X33" i="21"/>
  <c r="Q33" i="21"/>
  <c r="Q28" i="21"/>
  <c r="E33" i="21"/>
  <c r="U28" i="21"/>
  <c r="AB28" i="21"/>
  <c r="Z33" i="21"/>
  <c r="U33" i="21"/>
  <c r="L20" i="1" l="1"/>
  <c r="AC28" i="21"/>
  <c r="AB33" i="21"/>
  <c r="AC33" i="21" s="1"/>
  <c r="W33" i="21"/>
  <c r="AM8" i="12" l="1"/>
  <c r="AM7" i="12"/>
  <c r="AM4" i="12"/>
  <c r="E2" i="1"/>
  <c r="L26" i="1"/>
  <c r="L22" i="1"/>
  <c r="L23" i="1"/>
  <c r="F2" i="1"/>
  <c r="G2" i="1" s="1"/>
  <c r="D2" i="1"/>
  <c r="AM5" i="12" l="1"/>
  <c r="AM6" i="12"/>
  <c r="AK35" i="12"/>
  <c r="AM34" i="12"/>
  <c r="L5" i="1" l="1"/>
  <c r="L12" i="1"/>
  <c r="L6" i="1"/>
  <c r="AM9" i="12"/>
  <c r="L11" i="1" l="1"/>
  <c r="L10" i="1"/>
  <c r="L7" i="1"/>
  <c r="AL35" i="12" l="1"/>
  <c r="AM35" i="12" s="1"/>
  <c r="H2" i="1" l="1"/>
  <c r="L3" i="1"/>
  <c r="L15" i="1" l="1"/>
  <c r="L14" i="1"/>
  <c r="AG33" i="8" l="1"/>
  <c r="AF33" i="8"/>
  <c r="AE33" i="8"/>
  <c r="AC33" i="8"/>
  <c r="AA33" i="8"/>
  <c r="Z33" i="8"/>
  <c r="W33" i="8"/>
  <c r="V33" i="8"/>
  <c r="U33" i="8"/>
  <c r="T33" i="8"/>
  <c r="S33" i="8"/>
  <c r="Q33" i="8"/>
  <c r="P32" i="8"/>
  <c r="P31" i="8"/>
  <c r="AG23" i="8"/>
  <c r="AF23" i="8"/>
  <c r="AE23" i="8"/>
  <c r="AC23" i="8"/>
  <c r="AA23" i="8"/>
  <c r="Z23" i="8"/>
  <c r="W23" i="8"/>
  <c r="V23" i="8"/>
  <c r="U23" i="8"/>
  <c r="T23" i="8"/>
  <c r="S23" i="8"/>
  <c r="Q23" i="8"/>
  <c r="P23" i="8"/>
  <c r="O23" i="8"/>
  <c r="N23" i="8"/>
  <c r="M23" i="8"/>
  <c r="K23" i="8"/>
  <c r="J23" i="8"/>
  <c r="I23" i="8"/>
  <c r="H23" i="8"/>
  <c r="G23" i="8"/>
  <c r="E23" i="8"/>
  <c r="D23" i="8"/>
  <c r="AK22" i="8"/>
  <c r="AG19" i="8"/>
  <c r="AF19" i="8"/>
  <c r="AE19" i="8"/>
  <c r="AC19" i="8"/>
  <c r="AA19" i="8"/>
  <c r="Z19" i="8"/>
  <c r="W19" i="8"/>
  <c r="V19" i="8"/>
  <c r="U19" i="8"/>
  <c r="T19" i="8"/>
  <c r="S19" i="8"/>
  <c r="Q19" i="8"/>
  <c r="P19" i="8"/>
  <c r="O19" i="8"/>
  <c r="N19" i="8"/>
  <c r="M19" i="8"/>
  <c r="K19" i="8"/>
  <c r="J19" i="8"/>
  <c r="I19" i="8"/>
  <c r="H19" i="8"/>
  <c r="G19" i="8"/>
  <c r="E19" i="8"/>
  <c r="D19" i="8"/>
  <c r="Y19" i="8"/>
  <c r="AH19" i="8"/>
  <c r="AG15" i="8"/>
  <c r="AF15" i="8"/>
  <c r="AE15" i="8"/>
  <c r="AC15" i="8"/>
  <c r="AA15" i="8"/>
  <c r="Z15" i="8"/>
  <c r="W15" i="8"/>
  <c r="V15" i="8"/>
  <c r="U15" i="8"/>
  <c r="T15" i="8"/>
  <c r="S15" i="8"/>
  <c r="Q15" i="8"/>
  <c r="P15" i="8"/>
  <c r="O15" i="8"/>
  <c r="N15" i="8"/>
  <c r="M15" i="8"/>
  <c r="K15" i="8"/>
  <c r="J15" i="8"/>
  <c r="I15" i="8"/>
  <c r="H15" i="8"/>
  <c r="G15" i="8"/>
  <c r="E15" i="8"/>
  <c r="D15" i="8"/>
  <c r="Y15" i="8"/>
  <c r="AG12" i="8"/>
  <c r="AF12" i="8"/>
  <c r="AE12" i="8"/>
  <c r="AC12" i="8"/>
  <c r="AA12" i="8"/>
  <c r="Z12" i="8"/>
  <c r="W12" i="8"/>
  <c r="V12" i="8"/>
  <c r="U12" i="8"/>
  <c r="T12" i="8"/>
  <c r="S12" i="8"/>
  <c r="Q12" i="8"/>
  <c r="P12" i="8"/>
  <c r="O12" i="8"/>
  <c r="N12" i="8"/>
  <c r="M12" i="8"/>
  <c r="K12" i="8"/>
  <c r="J12" i="8"/>
  <c r="I12" i="8"/>
  <c r="H12" i="8"/>
  <c r="G12" i="8"/>
  <c r="E12" i="8"/>
  <c r="D12" i="8"/>
  <c r="Y12" i="8"/>
  <c r="AH12" i="8"/>
  <c r="AG9" i="8"/>
  <c r="AF9" i="8"/>
  <c r="AE9" i="8"/>
  <c r="AC9" i="8"/>
  <c r="AA9" i="8"/>
  <c r="Z9" i="8"/>
  <c r="W9" i="8"/>
  <c r="U9" i="8"/>
  <c r="T9" i="8"/>
  <c r="S9" i="8"/>
  <c r="Q9" i="8"/>
  <c r="P9" i="8"/>
  <c r="O9" i="8"/>
  <c r="N9" i="8"/>
  <c r="M9" i="8"/>
  <c r="K9" i="8"/>
  <c r="J9" i="8"/>
  <c r="I9" i="8"/>
  <c r="H9" i="8"/>
  <c r="G9" i="8"/>
  <c r="E9" i="8"/>
  <c r="D9" i="8"/>
  <c r="Y9" i="8"/>
  <c r="V9" i="8"/>
  <c r="P33" i="8" l="1"/>
  <c r="D29" i="8"/>
  <c r="D34" i="8" s="1"/>
  <c r="I29" i="8"/>
  <c r="I34" i="8" s="1"/>
  <c r="N29" i="8"/>
  <c r="N34" i="8" s="1"/>
  <c r="S29" i="8"/>
  <c r="S34" i="8" s="1"/>
  <c r="W29" i="8"/>
  <c r="W34" i="8" s="1"/>
  <c r="AE29" i="8"/>
  <c r="AE34" i="8" s="1"/>
  <c r="E29" i="8"/>
  <c r="E34" i="8" s="1"/>
  <c r="J29" i="8"/>
  <c r="J34" i="8" s="1"/>
  <c r="O29" i="8"/>
  <c r="O34" i="8" s="1"/>
  <c r="T29" i="8"/>
  <c r="T34" i="8" s="1"/>
  <c r="Z29" i="8"/>
  <c r="Z34" i="8" s="1"/>
  <c r="AF29" i="8"/>
  <c r="AF34" i="8" s="1"/>
  <c r="G29" i="8"/>
  <c r="G34" i="8" s="1"/>
  <c r="K29" i="8"/>
  <c r="K34" i="8" s="1"/>
  <c r="P29" i="8"/>
  <c r="P34" i="8" s="1"/>
  <c r="U29" i="8"/>
  <c r="U34" i="8" s="1"/>
  <c r="AA29" i="8"/>
  <c r="AA34" i="8" s="1"/>
  <c r="AB9" i="8"/>
  <c r="AI9" i="8" s="1"/>
  <c r="H29" i="8"/>
  <c r="H34" i="8" s="1"/>
  <c r="M29" i="8"/>
  <c r="M34" i="8" s="1"/>
  <c r="Q29" i="8"/>
  <c r="Q34" i="8" s="1"/>
  <c r="AC29" i="8"/>
  <c r="AC34" i="8" s="1"/>
  <c r="AG29" i="8"/>
  <c r="AG34" i="8" s="1"/>
  <c r="AH23" i="8"/>
  <c r="AB12" i="8"/>
  <c r="AI12" i="8" s="1"/>
  <c r="AB19" i="8"/>
  <c r="AI19" i="8" s="1"/>
  <c r="V29" i="8"/>
  <c r="V34" i="8" s="1"/>
  <c r="AB15" i="8"/>
  <c r="Y33" i="8"/>
  <c r="AH33" i="8"/>
  <c r="AH15" i="8"/>
  <c r="Y23" i="8"/>
  <c r="Y29" i="8" s="1"/>
  <c r="Y34" i="8" s="1"/>
  <c r="AB33" i="8"/>
  <c r="AI15" i="8" l="1"/>
  <c r="AH29" i="8"/>
  <c r="AB23" i="8"/>
  <c r="AI33" i="8"/>
  <c r="AL29" i="8" l="1"/>
  <c r="AB29" i="8"/>
  <c r="AI23" i="8"/>
  <c r="AH34" i="8"/>
  <c r="AI29" i="8" l="1"/>
  <c r="AM29" i="8"/>
  <c r="L16" i="1"/>
  <c r="AB34" i="8"/>
  <c r="AI34" i="8" l="1"/>
  <c r="W32" i="6" l="1"/>
  <c r="U32" i="6"/>
  <c r="T32" i="6"/>
  <c r="Q32" i="6"/>
  <c r="P32" i="6"/>
  <c r="N32" i="6"/>
  <c r="M32" i="6"/>
  <c r="J32" i="6"/>
  <c r="I32" i="6"/>
  <c r="G32" i="6"/>
  <c r="F32" i="6"/>
  <c r="D32" i="6"/>
  <c r="W22" i="6"/>
  <c r="U22" i="6"/>
  <c r="T22" i="6"/>
  <c r="Q22" i="6"/>
  <c r="P22" i="6"/>
  <c r="N22" i="6"/>
  <c r="M22" i="6"/>
  <c r="J22" i="6"/>
  <c r="I22" i="6"/>
  <c r="G22" i="6"/>
  <c r="F22" i="6"/>
  <c r="D22" i="6"/>
  <c r="W18" i="6"/>
  <c r="U18" i="6"/>
  <c r="T18" i="6"/>
  <c r="Q18" i="6"/>
  <c r="P18" i="6"/>
  <c r="N18" i="6"/>
  <c r="M18" i="6"/>
  <c r="J18" i="6"/>
  <c r="I18" i="6"/>
  <c r="G18" i="6"/>
  <c r="F18" i="6"/>
  <c r="D18" i="6"/>
  <c r="W14" i="6"/>
  <c r="U14" i="6"/>
  <c r="T14" i="6"/>
  <c r="Q14" i="6"/>
  <c r="P14" i="6"/>
  <c r="N14" i="6"/>
  <c r="M14" i="6"/>
  <c r="J14" i="6"/>
  <c r="I14" i="6"/>
  <c r="G14" i="6"/>
  <c r="F14" i="6"/>
  <c r="D14" i="6"/>
  <c r="W11" i="6"/>
  <c r="U11" i="6"/>
  <c r="T11" i="6"/>
  <c r="Q11" i="6"/>
  <c r="P11" i="6"/>
  <c r="N11" i="6"/>
  <c r="M11" i="6"/>
  <c r="J11" i="6"/>
  <c r="I11" i="6"/>
  <c r="G11" i="6"/>
  <c r="F11" i="6"/>
  <c r="D11" i="6"/>
  <c r="W8" i="6"/>
  <c r="U8" i="6"/>
  <c r="T8" i="6"/>
  <c r="Q8" i="6"/>
  <c r="P8" i="6"/>
  <c r="N8" i="6"/>
  <c r="M8" i="6"/>
  <c r="J8" i="6"/>
  <c r="I8" i="6"/>
  <c r="G8" i="6"/>
  <c r="F8" i="6"/>
  <c r="D8" i="6"/>
  <c r="E32" i="6" l="1"/>
  <c r="X22" i="6"/>
  <c r="V14" i="6"/>
  <c r="O8" i="6"/>
  <c r="X14" i="6"/>
  <c r="E18" i="6"/>
  <c r="H14" i="6"/>
  <c r="K22" i="6"/>
  <c r="H18" i="6"/>
  <c r="K14" i="6"/>
  <c r="D28" i="6"/>
  <c r="D33" i="6" s="1"/>
  <c r="E8" i="6"/>
  <c r="K8" i="6"/>
  <c r="O11" i="6"/>
  <c r="V11" i="6"/>
  <c r="E14" i="6"/>
  <c r="E22" i="6"/>
  <c r="K32" i="6"/>
  <c r="R32" i="6"/>
  <c r="X18" i="6"/>
  <c r="F28" i="6"/>
  <c r="E28" i="6" s="1"/>
  <c r="H8" i="6"/>
  <c r="V8" i="6"/>
  <c r="E11" i="6"/>
  <c r="K11" i="6"/>
  <c r="R11" i="6"/>
  <c r="R18" i="6"/>
  <c r="T28" i="6"/>
  <c r="H32" i="6"/>
  <c r="O32" i="6"/>
  <c r="O18" i="6"/>
  <c r="J28" i="6"/>
  <c r="J33" i="6" s="1"/>
  <c r="P28" i="6"/>
  <c r="P33" i="6" s="1"/>
  <c r="Q28" i="6"/>
  <c r="H11" i="6"/>
  <c r="O14" i="6"/>
  <c r="K18" i="6"/>
  <c r="G28" i="6"/>
  <c r="G33" i="6" s="1"/>
  <c r="M28" i="6"/>
  <c r="M33" i="6" s="1"/>
  <c r="R22" i="6"/>
  <c r="I28" i="6"/>
  <c r="I33" i="6" s="1"/>
  <c r="N28" i="6"/>
  <c r="N33" i="6" s="1"/>
  <c r="X32" i="6"/>
  <c r="R8" i="6"/>
  <c r="X11" i="6"/>
  <c r="V18" i="6"/>
  <c r="H22" i="6"/>
  <c r="V22" i="6"/>
  <c r="W28" i="6"/>
  <c r="K2" i="1" s="1"/>
  <c r="V32" i="6"/>
  <c r="X8" i="6"/>
  <c r="R14" i="6"/>
  <c r="O22" i="6"/>
  <c r="U28" i="6"/>
  <c r="Q33" i="6" l="1"/>
  <c r="T33" i="6"/>
  <c r="K28" i="6"/>
  <c r="F33" i="6"/>
  <c r="E33" i="6" s="1"/>
  <c r="H28" i="6"/>
  <c r="O28" i="6"/>
  <c r="K33" i="6"/>
  <c r="O33" i="6"/>
  <c r="H33" i="6"/>
  <c r="R28" i="6"/>
  <c r="V28" i="6"/>
  <c r="W33" i="6"/>
  <c r="X28" i="6"/>
  <c r="U33" i="6"/>
  <c r="R33" i="6" l="1"/>
  <c r="I2" i="1"/>
  <c r="L18" i="1"/>
  <c r="X33" i="6"/>
  <c r="V33" i="6"/>
  <c r="L2" i="1" l="1"/>
  <c r="J2" i="1"/>
  <c r="Q35" i="12"/>
  <c r="Q36" i="12"/>
  <c r="AA35" i="12"/>
  <c r="E35" i="12"/>
  <c r="G35" i="12"/>
  <c r="AH35" i="12"/>
  <c r="L35" i="12"/>
  <c r="N36" i="12" s="1"/>
  <c r="AI35" i="12"/>
  <c r="O35" i="12"/>
  <c r="P35" i="12"/>
  <c r="AJ35" i="12"/>
  <c r="B35" i="12"/>
  <c r="U35" i="12"/>
  <c r="AF35" i="12"/>
  <c r="AG36" i="12" s="1"/>
  <c r="AE35" i="12"/>
  <c r="N35" i="12"/>
  <c r="Z35" i="12"/>
  <c r="R35" i="12"/>
  <c r="T36" i="12" s="1"/>
  <c r="C35" i="12"/>
  <c r="D36" i="12" s="1"/>
  <c r="D35" i="12"/>
  <c r="W35" i="12"/>
  <c r="X35" i="12"/>
  <c r="F35" i="12"/>
  <c r="G36" i="12"/>
  <c r="T35" i="12"/>
  <c r="J35" i="12"/>
  <c r="H35" i="12"/>
  <c r="AD36" i="12"/>
  <c r="AB35" i="12"/>
  <c r="AD35" i="12"/>
  <c r="Y35" i="12"/>
  <c r="AC35" i="12" s="1"/>
  <c r="Z36" i="12"/>
  <c r="V35" i="12"/>
  <c r="W36" i="12" s="1"/>
  <c r="K35" i="12"/>
  <c r="I35" i="12"/>
  <c r="J36" i="12" s="1"/>
  <c r="S35" i="12"/>
  <c r="AG35" i="12" l="1"/>
  <c r="M35" i="12"/>
</calcChain>
</file>

<file path=xl/comments1.xml><?xml version="1.0" encoding="utf-8"?>
<comments xmlns="http://schemas.openxmlformats.org/spreadsheetml/2006/main">
  <authors>
    <author>作者</author>
  </authors>
  <commentList>
    <comment ref="AO5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2024年办公费合计预算减低5%应为17.13万，但由于IT打印耗材费23年只提报至6月份，还有6个月费用将在24年进行结算固24年预算将增加6万，
最终预算23.13万</t>
        </r>
      </text>
    </comment>
    <comment ref="Y6" authorId="0">
      <text>
        <r>
          <rPr>
            <sz val="9"/>
            <color indexed="81"/>
            <rFont val="宋体"/>
            <family val="3"/>
            <charset val="134"/>
          </rPr>
          <t>原饮水机滤芯预算2万元计入福利费用，现计入办公费</t>
        </r>
      </text>
    </comment>
    <comment ref="AO7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新增新材料部门，23年预算时未预算到新材料部，24预计新增材料部30人，</t>
        </r>
      </text>
    </comment>
    <comment ref="I8" authorId="0">
      <text>
        <r>
          <rPr>
            <b/>
            <sz val="9"/>
            <color indexed="81"/>
            <rFont val="宋体"/>
            <family val="3"/>
            <charset val="134"/>
          </rPr>
          <t>原预算5.23</t>
        </r>
      </text>
    </comment>
    <comment ref="H11" authorId="0">
      <text>
        <r>
          <rPr>
            <sz val="9"/>
            <color indexed="81"/>
            <rFont val="宋体"/>
            <family val="3"/>
            <charset val="134"/>
          </rPr>
          <t xml:space="preserve">含动力部、总经办、新材料
</t>
        </r>
      </text>
    </comment>
    <comment ref="X11" authorId="0">
      <text>
        <r>
          <rPr>
            <b/>
            <sz val="9"/>
            <color indexed="81"/>
            <rFont val="宋体"/>
            <family val="3"/>
            <charset val="134"/>
          </rPr>
          <t xml:space="preserve">含动力部、总经办、新材料
</t>
        </r>
      </text>
    </comment>
    <comment ref="Y11" authorId="0">
      <text>
        <r>
          <rPr>
            <b/>
            <sz val="9"/>
            <color indexed="81"/>
            <rFont val="宋体"/>
            <family val="3"/>
            <charset val="134"/>
          </rPr>
          <t>需增加办公楼搬迁预计3万元</t>
        </r>
      </text>
    </comment>
    <comment ref="AN11" authorId="0">
      <text>
        <r>
          <rPr>
            <b/>
            <sz val="9"/>
            <color indexed="81"/>
            <rFont val="宋体"/>
            <family val="3"/>
            <charset val="134"/>
          </rPr>
          <t xml:space="preserve">含动力部、总经办、新材料
</t>
        </r>
      </text>
    </comment>
    <comment ref="X16" authorId="0">
      <text>
        <r>
          <rPr>
            <b/>
            <sz val="9"/>
            <color indexed="81"/>
            <rFont val="宋体"/>
            <family val="3"/>
            <charset val="134"/>
          </rPr>
          <t>含OD246人</t>
        </r>
      </text>
    </comment>
    <comment ref="AN16" authorId="0">
      <text>
        <r>
          <rPr>
            <b/>
            <sz val="9"/>
            <color indexed="81"/>
            <rFont val="宋体"/>
            <family val="3"/>
            <charset val="134"/>
          </rPr>
          <t>含OD246人</t>
        </r>
      </text>
    </comment>
    <comment ref="Y20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其它办公用品费用并入厦门集成预算</t>
        </r>
      </text>
    </comment>
    <comment ref="Z21" author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降低90%</t>
        </r>
      </text>
    </comment>
    <comment ref="E25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不含基建中心</t>
        </r>
      </text>
    </comment>
    <comment ref="F25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不含保洁、食堂、前台等公共部份</t>
        </r>
      </text>
    </comment>
    <comment ref="I25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增加基建中心费用1.45万元，基建中心23年无实际数，按每人18.6元预估
</t>
        </r>
      </text>
    </comment>
    <comment ref="H26" authorId="0">
      <text>
        <r>
          <rPr>
            <b/>
            <sz val="9"/>
            <color indexed="81"/>
            <rFont val="宋体"/>
            <family val="3"/>
            <charset val="134"/>
          </rPr>
          <t>不含动力、基建</t>
        </r>
      </text>
    </comment>
    <comment ref="X26" authorId="0">
      <text>
        <r>
          <rPr>
            <b/>
            <sz val="9"/>
            <color indexed="81"/>
            <rFont val="宋体"/>
            <family val="3"/>
            <charset val="134"/>
          </rPr>
          <t>不含动力、基建</t>
        </r>
      </text>
    </comment>
    <comment ref="AN26" authorId="0">
      <text>
        <r>
          <rPr>
            <b/>
            <sz val="9"/>
            <color indexed="81"/>
            <rFont val="宋体"/>
            <family val="3"/>
            <charset val="134"/>
          </rPr>
          <t>不含动力、基建</t>
        </r>
      </text>
    </comment>
    <comment ref="AO26" authorId="0">
      <text>
        <r>
          <rPr>
            <b/>
            <sz val="9"/>
            <color indexed="81"/>
            <rFont val="宋体"/>
            <family val="3"/>
            <charset val="134"/>
          </rPr>
          <t>1.财务部打印凭证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L4" authorId="0">
      <text>
        <r>
          <rPr>
            <b/>
            <sz val="9"/>
            <color indexed="81"/>
            <rFont val="宋体"/>
            <family val="3"/>
            <charset val="134"/>
          </rPr>
          <t>策划部23年12月申请销售补贴</t>
        </r>
      </text>
    </comment>
    <comment ref="B22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11-12月话费报销人数</t>
        </r>
      </text>
    </comment>
    <comment ref="C22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11-12月电话费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N45" authorId="0">
      <text>
        <r>
          <rPr>
            <sz val="9"/>
            <color indexed="81"/>
            <rFont val="宋体"/>
            <family val="3"/>
            <charset val="134"/>
          </rPr>
          <t xml:space="preserve">下调
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K16" authorId="0">
      <text>
        <r>
          <rPr>
            <b/>
            <sz val="9"/>
            <color indexed="81"/>
            <rFont val="宋体"/>
            <family val="3"/>
            <charset val="134"/>
          </rPr>
          <t>3.92万移到泉州三安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AH32" authorId="0">
      <text>
        <r>
          <rPr>
            <sz val="9"/>
            <color indexed="81"/>
            <rFont val="宋体"/>
            <family val="3"/>
            <charset val="134"/>
          </rPr>
          <t xml:space="preserve">含四害消杀费用3.8万元
</t>
        </r>
      </text>
    </comment>
  </commentList>
</comments>
</file>

<file path=xl/sharedStrings.xml><?xml version="1.0" encoding="utf-8"?>
<sst xmlns="http://schemas.openxmlformats.org/spreadsheetml/2006/main" count="915" uniqueCount="401">
  <si>
    <t>单位：万元</t>
    <phoneticPr fontId="6" type="noConversion"/>
  </si>
  <si>
    <t>全厂
人数</t>
  </si>
  <si>
    <t>费用
小计</t>
  </si>
  <si>
    <t>月人均
费用（元）</t>
  </si>
  <si>
    <t>氮化镓事业部小计</t>
    <phoneticPr fontId="6" type="noConversion"/>
  </si>
  <si>
    <t>砷化镓事业部小计</t>
    <phoneticPr fontId="6" type="noConversion"/>
  </si>
  <si>
    <t>特种应用事业部小计</t>
    <phoneticPr fontId="6" type="noConversion"/>
  </si>
  <si>
    <t>厦门集成</t>
    <phoneticPr fontId="6" type="noConversion"/>
  </si>
  <si>
    <t>泉州集成</t>
    <phoneticPr fontId="6" type="noConversion"/>
  </si>
  <si>
    <t>日本三安</t>
    <phoneticPr fontId="6" type="noConversion"/>
  </si>
  <si>
    <t>射频事业部小计</t>
    <phoneticPr fontId="6" type="noConversion"/>
  </si>
  <si>
    <t>湖南三安</t>
    <phoneticPr fontId="6" type="noConversion"/>
  </si>
  <si>
    <t>重庆三安</t>
    <phoneticPr fontId="6" type="noConversion"/>
  </si>
  <si>
    <t>厦门半导体（销售）</t>
    <phoneticPr fontId="6" type="noConversion"/>
  </si>
  <si>
    <t>泉州职能部门</t>
    <phoneticPr fontId="6" type="noConversion"/>
  </si>
  <si>
    <t>北京三安</t>
    <phoneticPr fontId="6" type="noConversion"/>
  </si>
  <si>
    <t>安徽科技</t>
    <phoneticPr fontId="6" type="noConversion"/>
  </si>
  <si>
    <t>安瑞光电</t>
    <phoneticPr fontId="6" type="noConversion"/>
  </si>
  <si>
    <t>朗明纳斯</t>
  </si>
  <si>
    <t>泉州三安（RGB）</t>
  </si>
  <si>
    <t>2023年（实际）</t>
    <phoneticPr fontId="6" type="noConversion"/>
  </si>
  <si>
    <t>2024年（预算）</t>
    <phoneticPr fontId="6" type="noConversion"/>
  </si>
  <si>
    <t>2024年（实际）</t>
    <phoneticPr fontId="6" type="noConversion"/>
  </si>
  <si>
    <t>2025年（预算）</t>
    <phoneticPr fontId="6" type="noConversion"/>
  </si>
  <si>
    <t>2025年（决算）</t>
    <phoneticPr fontId="6" type="noConversion"/>
  </si>
  <si>
    <t>2026年（预算）</t>
    <phoneticPr fontId="6" type="noConversion"/>
  </si>
  <si>
    <t>2026年预算较2025年决算差异</t>
    <phoneticPr fontId="6" type="noConversion"/>
  </si>
  <si>
    <t>月均
人数</t>
    <phoneticPr fontId="6" type="noConversion"/>
  </si>
  <si>
    <t>月人均
费用(元）</t>
    <phoneticPr fontId="6" type="noConversion"/>
  </si>
  <si>
    <t>食堂
费用</t>
    <phoneticPr fontId="6" type="noConversion"/>
  </si>
  <si>
    <t>厦门三安</t>
  </si>
  <si>
    <t>安徽三安</t>
  </si>
  <si>
    <t>湖北三安（氮化镓）</t>
  </si>
  <si>
    <t>晶安光电</t>
  </si>
  <si>
    <t>泉州三安（氮化镓）</t>
  </si>
  <si>
    <t>天津三安</t>
  </si>
  <si>
    <t>泉州三安（砷化镓）</t>
  </si>
  <si>
    <t>湖北艾迈谱（MIP）</t>
    <phoneticPr fontId="6" type="noConversion"/>
  </si>
  <si>
    <t>泉州光通讯</t>
  </si>
  <si>
    <t>电力电子事业部小计</t>
    <phoneticPr fontId="6" type="noConversion"/>
  </si>
  <si>
    <t>股份中心</t>
    <phoneticPr fontId="6" type="noConversion"/>
  </si>
  <si>
    <t>朗明纳斯</t>
    <phoneticPr fontId="6" type="noConversion"/>
  </si>
  <si>
    <t>单位：万元</t>
    <phoneticPr fontId="6" type="noConversion"/>
  </si>
  <si>
    <t>2023年实际</t>
    <phoneticPr fontId="6" type="noConversion"/>
  </si>
  <si>
    <t>2024年预算</t>
    <phoneticPr fontId="6" type="noConversion"/>
  </si>
  <si>
    <t>2024年实际</t>
    <phoneticPr fontId="6" type="noConversion"/>
  </si>
  <si>
    <t>2025年预算</t>
    <phoneticPr fontId="6" type="noConversion"/>
  </si>
  <si>
    <t>2025年决算</t>
    <phoneticPr fontId="6" type="noConversion"/>
  </si>
  <si>
    <t>2026年（预算）</t>
    <phoneticPr fontId="6" type="noConversion"/>
  </si>
  <si>
    <t>2026年预算较2025年决算差异</t>
    <phoneticPr fontId="6" type="noConversion"/>
  </si>
  <si>
    <t>费用
合计</t>
    <phoneticPr fontId="6" type="noConversion"/>
  </si>
  <si>
    <t>户外绿化管养费</t>
    <phoneticPr fontId="6" type="noConversion"/>
  </si>
  <si>
    <t>其他费用</t>
    <phoneticPr fontId="6" type="noConversion"/>
  </si>
  <si>
    <t>费用合计</t>
    <phoneticPr fontId="6" type="noConversion"/>
  </si>
  <si>
    <t>户外绿化
面积（万）</t>
    <phoneticPr fontId="6" type="noConversion"/>
  </si>
  <si>
    <t>养护平均
单价（元）</t>
    <phoneticPr fontId="6" type="noConversion"/>
  </si>
  <si>
    <t>户外养护
费小计</t>
    <phoneticPr fontId="6" type="noConversion"/>
  </si>
  <si>
    <t>室内绿化
费用</t>
    <phoneticPr fontId="6" type="noConversion"/>
  </si>
  <si>
    <t>其他
费用</t>
    <phoneticPr fontId="6" type="noConversion"/>
  </si>
  <si>
    <t>氮化镓事业部小计</t>
    <phoneticPr fontId="6" type="noConversion"/>
  </si>
  <si>
    <t>砷化镓事业部小计</t>
    <phoneticPr fontId="6" type="noConversion"/>
  </si>
  <si>
    <t>湖北艾迈谱（MIP）</t>
    <phoneticPr fontId="6" type="noConversion"/>
  </si>
  <si>
    <t>特种应用事业部小计</t>
    <phoneticPr fontId="6" type="noConversion"/>
  </si>
  <si>
    <t>厦门集成</t>
    <phoneticPr fontId="6" type="noConversion"/>
  </si>
  <si>
    <t>泉州集成</t>
    <phoneticPr fontId="6" type="noConversion"/>
  </si>
  <si>
    <t>日本三安</t>
    <phoneticPr fontId="6" type="noConversion"/>
  </si>
  <si>
    <t>射频事业部小计</t>
    <phoneticPr fontId="6" type="noConversion"/>
  </si>
  <si>
    <t>重庆三安</t>
    <phoneticPr fontId="6" type="noConversion"/>
  </si>
  <si>
    <t>湖南三安</t>
    <phoneticPr fontId="6" type="noConversion"/>
  </si>
  <si>
    <t>电力电子事业部小计</t>
    <phoneticPr fontId="6" type="noConversion"/>
  </si>
  <si>
    <t>厦门半导体（销售）</t>
    <phoneticPr fontId="6" type="noConversion"/>
  </si>
  <si>
    <t>股份中心</t>
    <phoneticPr fontId="6" type="noConversion"/>
  </si>
  <si>
    <t>泉州职能部门</t>
    <phoneticPr fontId="6" type="noConversion"/>
  </si>
  <si>
    <t>北京三安</t>
    <phoneticPr fontId="6" type="noConversion"/>
  </si>
  <si>
    <t>安徽科技</t>
    <phoneticPr fontId="6" type="noConversion"/>
  </si>
  <si>
    <t>朗明纳斯</t>
    <phoneticPr fontId="6" type="noConversion"/>
  </si>
  <si>
    <t>安瑞光电</t>
    <phoneticPr fontId="6" type="noConversion"/>
  </si>
  <si>
    <t>安意法</t>
    <phoneticPr fontId="6" type="noConversion"/>
  </si>
  <si>
    <t>序号</t>
  </si>
  <si>
    <t>预算关键要素</t>
    <phoneticPr fontId="6" type="noConversion"/>
  </si>
  <si>
    <t>1、办公文具按月人均19元/月预算进行管控；
2、其它办公用品优先利旧与调拨；
3、26年预算总费用目标较上年费用降低5%以上；</t>
    <phoneticPr fontId="6" type="noConversion"/>
  </si>
  <si>
    <t>差旅费</t>
    <phoneticPr fontId="6" type="noConversion"/>
  </si>
  <si>
    <t>业务招待费</t>
    <phoneticPr fontId="6" type="noConversion"/>
  </si>
  <si>
    <t>\</t>
    <phoneticPr fontId="6" type="noConversion"/>
  </si>
  <si>
    <t>差旅费&amp;业务招待费（合计）</t>
    <phoneticPr fontId="6" type="noConversion"/>
  </si>
  <si>
    <t>26年目标较上年费用降低5%。</t>
  </si>
  <si>
    <t>市内交通费</t>
  </si>
  <si>
    <t>2026年移动电话费=2025年月人均费用*2026年可报销人数
2025年月人均费用=2025年报销金额/报销人数</t>
    <phoneticPr fontId="6" type="noConversion"/>
  </si>
  <si>
    <t>食堂费用</t>
    <phoneticPr fontId="6" type="noConversion"/>
  </si>
  <si>
    <t>总办其他福利费</t>
    <phoneticPr fontId="6" type="noConversion"/>
  </si>
  <si>
    <t>总办其他服务费</t>
    <phoneticPr fontId="6" type="noConversion"/>
  </si>
  <si>
    <t>捐赠支出</t>
    <phoneticPr fontId="6" type="noConversion"/>
  </si>
  <si>
    <t>总部大楼装修</t>
    <phoneticPr fontId="6" type="noConversion"/>
  </si>
  <si>
    <t>专项酒水</t>
    <phoneticPr fontId="6" type="noConversion"/>
  </si>
  <si>
    <t>23年实际
（万元）</t>
    <phoneticPr fontId="6" type="noConversion"/>
  </si>
  <si>
    <t>24年预算
（万元）</t>
    <phoneticPr fontId="6" type="noConversion"/>
  </si>
  <si>
    <t>24年实际
（万元）</t>
    <phoneticPr fontId="6" type="noConversion"/>
  </si>
  <si>
    <t>25年预算
（万元）</t>
    <phoneticPr fontId="6" type="noConversion"/>
  </si>
  <si>
    <t>25年预估实际
（万元）</t>
    <phoneticPr fontId="6" type="noConversion"/>
  </si>
  <si>
    <t>25年达成率</t>
    <phoneticPr fontId="6" type="noConversion"/>
  </si>
  <si>
    <t>26年预算
（万元）</t>
    <phoneticPr fontId="6" type="noConversion"/>
  </si>
  <si>
    <t>差异率
2026年预算-2025年实际</t>
    <phoneticPr fontId="6" type="noConversion"/>
  </si>
  <si>
    <t>移动电话费</t>
    <phoneticPr fontId="6" type="noConversion"/>
  </si>
  <si>
    <t>安全生产费</t>
    <phoneticPr fontId="6" type="noConversion"/>
  </si>
  <si>
    <t>环保费</t>
    <phoneticPr fontId="6" type="noConversion"/>
  </si>
  <si>
    <t>宿舍费用</t>
    <phoneticPr fontId="6" type="noConversion"/>
  </si>
  <si>
    <t>绿化费</t>
    <phoneticPr fontId="6" type="noConversion"/>
  </si>
  <si>
    <t>合计：</t>
    <phoneticPr fontId="6" type="noConversion"/>
  </si>
  <si>
    <t>户外管养单价2025年在3元/㎡/年~3.5元/㎡/年的，至少下降5%；＞3.5元/㎡/年的至少下降10%；其他费用较2025年下降5%。</t>
    <phoneticPr fontId="6" type="noConversion"/>
  </si>
  <si>
    <t>①、原则上月人均费用不高于2025年月人均费用。（月人均费用=当月食堂支出费用/当月在职总人数）。
2025年食堂人均用餐成本（不含人工）大于7.5元/人/餐应做节约规划，在保证品类和质量不下降的情况下降低月人均费用至少5%（或达成2026年人均用餐成本指标7元/人/餐±3%.)
②、2026年全股份“食堂人均用餐成本（不含人工）”指标：7元/人/餐±3%。
③食材占比由66%提升至68%</t>
    <phoneticPr fontId="6" type="noConversion"/>
  </si>
  <si>
    <t>①月人均费用=（修理费+卫星电视费+宽带网络费用+奖励费用+家具家电+清洁费+员工制服+宿舍物资+搬迁劳务费+其他费用）/住宿总人数
②原则上不高于2025年实际费用，2025年月人均费用＜13.5元/人，相关费用不做下降；月人均费用在（含）13.5元/人~18元/人，相关费用至少下降10%（或月人均费用下降至13.5元/人）；月人均费用≥20元/人，相关费用至少下降15%。</t>
    <phoneticPr fontId="6" type="noConversion"/>
  </si>
  <si>
    <t>汽车费用</t>
    <phoneticPr fontId="6" type="noConversion"/>
  </si>
  <si>
    <t>/</t>
  </si>
  <si>
    <t>24年达成率</t>
    <phoneticPr fontId="6" type="noConversion"/>
  </si>
  <si>
    <t>1.2026年实际费用预算，原则单价较2025年下降5%；</t>
    <phoneticPr fontId="6" type="noConversion"/>
  </si>
  <si>
    <t>1.2026年实际费用预算，原则上单价较2025年下降5%；</t>
    <phoneticPr fontId="6" type="noConversion"/>
  </si>
  <si>
    <t>管控标准-目标
户外管养单价</t>
    <phoneticPr fontId="6" type="noConversion"/>
  </si>
  <si>
    <t>管控标准-目标
在职月人均费用</t>
    <phoneticPr fontId="6" type="noConversion"/>
  </si>
  <si>
    <t>管控标准-目标
月人均费用</t>
    <phoneticPr fontId="6" type="noConversion"/>
  </si>
  <si>
    <t>管控标准-目标
住宿月人均费用</t>
    <phoneticPr fontId="6" type="noConversion"/>
  </si>
  <si>
    <t>不高于2025年费用</t>
    <phoneticPr fontId="6" type="noConversion"/>
  </si>
  <si>
    <t>管控标准-目标
营收比</t>
    <phoneticPr fontId="6" type="noConversion"/>
  </si>
  <si>
    <t>营收</t>
    <phoneticPr fontId="6" type="noConversion"/>
  </si>
  <si>
    <t>原有项目在2025年基础上下降5%，新增项目按实际预估。</t>
    <phoneticPr fontId="6" type="noConversion"/>
  </si>
  <si>
    <t>按照实际费用预算</t>
    <phoneticPr fontId="6" type="noConversion"/>
  </si>
  <si>
    <t>按专项总控费用</t>
    <phoneticPr fontId="6" type="noConversion"/>
  </si>
  <si>
    <t>股份公司总经办办公费2026年预算汇总表</t>
    <phoneticPr fontId="7" type="noConversion"/>
  </si>
  <si>
    <t>2022年</t>
    <phoneticPr fontId="7" type="noConversion"/>
  </si>
  <si>
    <t>2023年</t>
    <phoneticPr fontId="7" type="noConversion"/>
  </si>
  <si>
    <t>2024年</t>
    <phoneticPr fontId="7" type="noConversion"/>
  </si>
  <si>
    <t>2025年</t>
    <phoneticPr fontId="7" type="noConversion"/>
  </si>
  <si>
    <t>2022年</t>
    <phoneticPr fontId="7" type="noConversion"/>
  </si>
  <si>
    <t>2023年实际</t>
    <phoneticPr fontId="7" type="noConversion"/>
  </si>
  <si>
    <t>2024年预算</t>
    <phoneticPr fontId="7" type="noConversion"/>
  </si>
  <si>
    <t>2024年(实际)</t>
    <phoneticPr fontId="7" type="noConversion"/>
  </si>
  <si>
    <t>2025年(预算)</t>
    <phoneticPr fontId="7" type="noConversion"/>
  </si>
  <si>
    <t>2025年（决算）</t>
    <phoneticPr fontId="7" type="noConversion"/>
  </si>
  <si>
    <t>2026年（预算）</t>
    <phoneticPr fontId="7" type="noConversion"/>
  </si>
  <si>
    <t>说明</t>
    <phoneticPr fontId="7" type="noConversion"/>
  </si>
  <si>
    <t>单位</t>
    <phoneticPr fontId="6" type="noConversion"/>
  </si>
  <si>
    <t>全厂
人数</t>
    <phoneticPr fontId="7" type="noConversion"/>
  </si>
  <si>
    <t>费用小计</t>
    <phoneticPr fontId="7" type="noConversion"/>
  </si>
  <si>
    <t>人均
费用</t>
    <phoneticPr fontId="7" type="noConversion"/>
  </si>
  <si>
    <t>预算全厂
人数</t>
    <phoneticPr fontId="7" type="noConversion"/>
  </si>
  <si>
    <t>预算费用小计</t>
    <phoneticPr fontId="7" type="noConversion"/>
  </si>
  <si>
    <t>人均
费用
（降低5%）</t>
    <phoneticPr fontId="7" type="noConversion"/>
  </si>
  <si>
    <t>决算全厂
人数</t>
    <phoneticPr fontId="7" type="noConversion"/>
  </si>
  <si>
    <t>决算费用小计</t>
    <phoneticPr fontId="7" type="noConversion"/>
  </si>
  <si>
    <t>预算达成率</t>
    <phoneticPr fontId="7" type="noConversion"/>
  </si>
  <si>
    <t>决算人均
费用</t>
    <phoneticPr fontId="7" type="noConversion"/>
  </si>
  <si>
    <t xml:space="preserve">人均
费用
</t>
    <phoneticPr fontId="7" type="noConversion"/>
  </si>
  <si>
    <t>人均
费用
（降低5%）</t>
    <phoneticPr fontId="7" type="noConversion"/>
  </si>
  <si>
    <t>决算人均费用
（万元/年）</t>
    <phoneticPr fontId="7" type="noConversion"/>
  </si>
  <si>
    <t>人均费用
（万元/年）</t>
    <phoneticPr fontId="7" type="noConversion"/>
  </si>
  <si>
    <t>费用
小计</t>
    <phoneticPr fontId="7" type="noConversion"/>
  </si>
  <si>
    <t>月人均
费用（元）</t>
    <phoneticPr fontId="7" type="noConversion"/>
  </si>
  <si>
    <t>原有</t>
    <phoneticPr fontId="7" type="noConversion"/>
  </si>
  <si>
    <t>新增</t>
    <phoneticPr fontId="7" type="noConversion"/>
  </si>
  <si>
    <t>2026年预算较2025年决算差异
（%）</t>
    <phoneticPr fontId="7" type="noConversion"/>
  </si>
  <si>
    <t>厦门三安</t>
    <phoneticPr fontId="6" type="noConversion"/>
  </si>
  <si>
    <t>安徽三安</t>
    <phoneticPr fontId="6" type="noConversion"/>
  </si>
  <si>
    <t>湖北厂（仅氮化镓）</t>
    <phoneticPr fontId="6" type="noConversion"/>
  </si>
  <si>
    <t>晶安光电</t>
    <phoneticPr fontId="6" type="noConversion"/>
  </si>
  <si>
    <t>泉州三安（氮化镓）</t>
    <phoneticPr fontId="6" type="noConversion"/>
  </si>
  <si>
    <t>氮化镓事业部小计</t>
    <phoneticPr fontId="6" type="noConversion"/>
  </si>
  <si>
    <t>天津三安</t>
    <phoneticPr fontId="6" type="noConversion"/>
  </si>
  <si>
    <t>泉州三安（砷化镓）</t>
    <phoneticPr fontId="6" type="noConversion"/>
  </si>
  <si>
    <t>砷化镓事业部小计</t>
    <phoneticPr fontId="6" type="noConversion"/>
  </si>
  <si>
    <t>泉州三安（RGB)</t>
    <phoneticPr fontId="6" type="noConversion"/>
  </si>
  <si>
    <t>湖北艾迈谱(MIP)</t>
    <phoneticPr fontId="6" type="noConversion"/>
  </si>
  <si>
    <t>特种应用事业部小计</t>
    <phoneticPr fontId="6" type="noConversion"/>
  </si>
  <si>
    <t>厦门集成</t>
    <phoneticPr fontId="6" type="noConversion"/>
  </si>
  <si>
    <t>泉州集成</t>
    <phoneticPr fontId="6" type="noConversion"/>
  </si>
  <si>
    <t>日本三安</t>
    <phoneticPr fontId="6" type="noConversion"/>
  </si>
  <si>
    <t>射频事业部小计</t>
    <phoneticPr fontId="6" type="noConversion"/>
  </si>
  <si>
    <t>光技术（OD板块）</t>
    <phoneticPr fontId="7" type="noConversion"/>
  </si>
  <si>
    <t>湖南三安</t>
    <phoneticPr fontId="6" type="noConversion"/>
  </si>
  <si>
    <t>重庆三安</t>
    <phoneticPr fontId="6" type="noConversion"/>
  </si>
  <si>
    <t>电力电子事业部小计</t>
    <phoneticPr fontId="7" type="noConversion"/>
  </si>
  <si>
    <t>厦门半导体（销售）</t>
    <phoneticPr fontId="6" type="noConversion"/>
  </si>
  <si>
    <t>股份职能中心</t>
    <phoneticPr fontId="6" type="noConversion"/>
  </si>
  <si>
    <t>泉州职能部门</t>
    <phoneticPr fontId="6" type="noConversion"/>
  </si>
  <si>
    <t>北京三安</t>
    <phoneticPr fontId="6" type="noConversion"/>
  </si>
  <si>
    <t>安徽科技</t>
    <phoneticPr fontId="6" type="noConversion"/>
  </si>
  <si>
    <t>银泽新材料</t>
    <phoneticPr fontId="6" type="noConversion"/>
  </si>
  <si>
    <t>合计1</t>
    <phoneticPr fontId="7" type="noConversion"/>
  </si>
  <si>
    <t>安瑞光电</t>
    <phoneticPr fontId="6" type="noConversion"/>
  </si>
  <si>
    <t>安意法</t>
    <phoneticPr fontId="6" type="noConversion"/>
  </si>
  <si>
    <t>合计2</t>
    <phoneticPr fontId="7" type="noConversion"/>
  </si>
  <si>
    <t>总计</t>
    <phoneticPr fontId="7" type="noConversion"/>
  </si>
  <si>
    <t>股份公司手机费用2026年预算汇总表</t>
    <phoneticPr fontId="7" type="noConversion"/>
  </si>
  <si>
    <t>单位：万元</t>
    <phoneticPr fontId="6" type="noConversion"/>
  </si>
  <si>
    <t>2024年实际</t>
    <phoneticPr fontId="7" type="noConversion"/>
  </si>
  <si>
    <t>2025年预算</t>
    <phoneticPr fontId="7" type="noConversion"/>
  </si>
  <si>
    <t>2025年实际预估</t>
    <phoneticPr fontId="7" type="noConversion"/>
  </si>
  <si>
    <t>2026年预算</t>
    <phoneticPr fontId="7" type="noConversion"/>
  </si>
  <si>
    <t>人数</t>
    <phoneticPr fontId="7" type="noConversion"/>
  </si>
  <si>
    <t>实际
费用</t>
    <phoneticPr fontId="7" type="noConversion"/>
  </si>
  <si>
    <t>预算
费用</t>
    <phoneticPr fontId="7" type="noConversion"/>
  </si>
  <si>
    <t>人均
费用（元)</t>
    <phoneticPr fontId="7" type="noConversion"/>
  </si>
  <si>
    <t>26年较25年</t>
    <phoneticPr fontId="7" type="noConversion"/>
  </si>
  <si>
    <t>厦门三安</t>
    <phoneticPr fontId="6" type="noConversion"/>
  </si>
  <si>
    <t>安徽三安</t>
    <phoneticPr fontId="6" type="noConversion"/>
  </si>
  <si>
    <t>湖北三安（仅氮化镓）</t>
    <phoneticPr fontId="6" type="noConversion"/>
  </si>
  <si>
    <t>湖北艾迈谱（MIP）</t>
    <phoneticPr fontId="7" type="noConversion"/>
  </si>
  <si>
    <t>光技术（OD板块）</t>
    <phoneticPr fontId="6" type="noConversion"/>
  </si>
  <si>
    <t>小计</t>
    <phoneticPr fontId="7" type="noConversion"/>
  </si>
  <si>
    <t>单位：万元</t>
    <phoneticPr fontId="6" type="noConversion"/>
  </si>
  <si>
    <t>2023年</t>
    <phoneticPr fontId="6" type="noConversion"/>
  </si>
  <si>
    <t>2024年</t>
    <phoneticPr fontId="6" type="noConversion"/>
  </si>
  <si>
    <t>2025年全年预估</t>
    <phoneticPr fontId="6" type="noConversion"/>
  </si>
  <si>
    <t>26年预估</t>
  </si>
  <si>
    <t>26年降幅目标（%）</t>
    <phoneticPr fontId="6" type="noConversion"/>
  </si>
  <si>
    <t>说明</t>
    <phoneticPr fontId="7" type="noConversion"/>
  </si>
  <si>
    <t>单位</t>
    <phoneticPr fontId="6" type="noConversion"/>
  </si>
  <si>
    <t>预算</t>
  </si>
  <si>
    <t>实际</t>
  </si>
  <si>
    <t>预算达成率</t>
    <phoneticPr fontId="7" type="noConversion"/>
  </si>
  <si>
    <t>预算</t>
    <phoneticPr fontId="7" type="noConversion"/>
  </si>
  <si>
    <t>实际</t>
    <phoneticPr fontId="7" type="noConversion"/>
  </si>
  <si>
    <t>实际预估</t>
    <phoneticPr fontId="6" type="noConversion"/>
  </si>
  <si>
    <t>预算达成率</t>
    <phoneticPr fontId="6" type="noConversion"/>
  </si>
  <si>
    <t>厦门三安</t>
    <phoneticPr fontId="6" type="noConversion"/>
  </si>
  <si>
    <t>安徽三安</t>
    <phoneticPr fontId="6" type="noConversion"/>
  </si>
  <si>
    <t>湖北三安（氮化镓）</t>
    <phoneticPr fontId="6" type="noConversion"/>
  </si>
  <si>
    <t>晶安光电</t>
    <phoneticPr fontId="6" type="noConversion"/>
  </si>
  <si>
    <t>泉州三安（氮化镓）</t>
    <phoneticPr fontId="6" type="noConversion"/>
  </si>
  <si>
    <t>氮化镓事业部小计</t>
    <phoneticPr fontId="6" type="noConversion"/>
  </si>
  <si>
    <t>天津三安</t>
    <phoneticPr fontId="6" type="noConversion"/>
  </si>
  <si>
    <t>泉州三安（砷化镓）</t>
    <phoneticPr fontId="6" type="noConversion"/>
  </si>
  <si>
    <t>砷化镓事业部小计</t>
    <phoneticPr fontId="6" type="noConversion"/>
  </si>
  <si>
    <t>泉州三安（RGB）</t>
    <phoneticPr fontId="6" type="noConversion"/>
  </si>
  <si>
    <t>湖北艾迈谱（MIP）</t>
    <phoneticPr fontId="6" type="noConversion"/>
  </si>
  <si>
    <t>特种应用事业部小计</t>
    <phoneticPr fontId="6" type="noConversion"/>
  </si>
  <si>
    <t>厦门集成</t>
    <phoneticPr fontId="6" type="noConversion"/>
  </si>
  <si>
    <t>泉州集成</t>
    <phoneticPr fontId="6" type="noConversion"/>
  </si>
  <si>
    <t>日本三安</t>
    <phoneticPr fontId="6" type="noConversion"/>
  </si>
  <si>
    <t>射频事业部小计</t>
    <phoneticPr fontId="6" type="noConversion"/>
  </si>
  <si>
    <t>泉州光通讯</t>
    <phoneticPr fontId="6" type="noConversion"/>
  </si>
  <si>
    <t>光技术（OD板块）小计</t>
    <phoneticPr fontId="6" type="noConversion"/>
  </si>
  <si>
    <t>湖南三安</t>
    <phoneticPr fontId="6" type="noConversion"/>
  </si>
  <si>
    <t>重庆三安</t>
    <phoneticPr fontId="6" type="noConversion"/>
  </si>
  <si>
    <t>电力电子事业部小计</t>
    <phoneticPr fontId="7" type="noConversion"/>
  </si>
  <si>
    <t>采购中心</t>
    <phoneticPr fontId="6" type="noConversion"/>
  </si>
  <si>
    <t>技术中心</t>
    <phoneticPr fontId="6" type="noConversion"/>
  </si>
  <si>
    <t>人资中心</t>
    <phoneticPr fontId="6" type="noConversion"/>
  </si>
  <si>
    <t>证券中心</t>
    <phoneticPr fontId="6" type="noConversion"/>
  </si>
  <si>
    <t>品管中心</t>
    <phoneticPr fontId="6" type="noConversion"/>
  </si>
  <si>
    <t>总经办</t>
    <phoneticPr fontId="6" type="noConversion"/>
  </si>
  <si>
    <t>战略营运中心</t>
    <phoneticPr fontId="6" type="noConversion"/>
  </si>
  <si>
    <t>风控中心</t>
    <phoneticPr fontId="6" type="noConversion"/>
  </si>
  <si>
    <t>信息化中心</t>
    <phoneticPr fontId="6" type="noConversion"/>
  </si>
  <si>
    <t>财务中心</t>
    <phoneticPr fontId="6" type="noConversion"/>
  </si>
  <si>
    <t>基建中心</t>
    <phoneticPr fontId="6" type="noConversion"/>
  </si>
  <si>
    <t>股份总经理室</t>
    <phoneticPr fontId="6" type="noConversion"/>
  </si>
  <si>
    <t>股份中心小计</t>
    <phoneticPr fontId="7" type="noConversion"/>
  </si>
  <si>
    <t>安徽科技</t>
    <phoneticPr fontId="6" type="noConversion"/>
  </si>
  <si>
    <t>泉州职能部门</t>
    <phoneticPr fontId="6" type="noConversion"/>
  </si>
  <si>
    <t>北京三安</t>
    <phoneticPr fontId="6" type="noConversion"/>
  </si>
  <si>
    <t>厦门半导体（销售）</t>
    <phoneticPr fontId="6" type="noConversion"/>
  </si>
  <si>
    <t>银泽新材料</t>
    <phoneticPr fontId="6" type="noConversion"/>
  </si>
  <si>
    <t>小计1</t>
    <phoneticPr fontId="6" type="noConversion"/>
  </si>
  <si>
    <t>朗明纳斯</t>
    <phoneticPr fontId="6" type="noConversion"/>
  </si>
  <si>
    <t>安瑞光电</t>
    <phoneticPr fontId="6" type="noConversion"/>
  </si>
  <si>
    <t>安意法</t>
    <phoneticPr fontId="6" type="noConversion"/>
  </si>
  <si>
    <t>小计2</t>
    <phoneticPr fontId="6" type="noConversion"/>
  </si>
  <si>
    <t>合计</t>
    <phoneticPr fontId="6" type="noConversion"/>
  </si>
  <si>
    <t>26年预估</t>
    <phoneticPr fontId="6" type="noConversion"/>
  </si>
  <si>
    <t>2026年预算较2025年决算差异</t>
    <phoneticPr fontId="6" type="noConversion"/>
  </si>
  <si>
    <t>2026年营收较2025年营收差异</t>
    <phoneticPr fontId="6" type="noConversion"/>
  </si>
  <si>
    <t>说明
未达成2026年预算逻辑要求的，请详细备注</t>
    <phoneticPr fontId="7" type="noConversion"/>
  </si>
  <si>
    <t>2025年预算达成说明
达成情况低于80%，或大于100%的请详细备注说明</t>
    <phoneticPr fontId="6" type="noConversion"/>
  </si>
  <si>
    <t xml:space="preserve">实际 </t>
  </si>
  <si>
    <t xml:space="preserve">实际 </t>
    <phoneticPr fontId="6" type="noConversion"/>
  </si>
  <si>
    <t>营收</t>
    <phoneticPr fontId="6" type="noConversion"/>
  </si>
  <si>
    <t>营收比</t>
    <phoneticPr fontId="6" type="noConversion"/>
  </si>
  <si>
    <t>预算费用</t>
    <phoneticPr fontId="6" type="noConversion"/>
  </si>
  <si>
    <t>湖北艾迈谱（MIP</t>
    <phoneticPr fontId="6" type="noConversion"/>
  </si>
  <si>
    <t>日本三安(海外公司）</t>
    <phoneticPr fontId="6" type="noConversion"/>
  </si>
  <si>
    <t>安徽科技</t>
  </si>
  <si>
    <t>北京三安</t>
  </si>
  <si>
    <t>合计1</t>
    <phoneticPr fontId="6" type="noConversion"/>
  </si>
  <si>
    <t>合计2</t>
    <phoneticPr fontId="6" type="noConversion"/>
  </si>
  <si>
    <t>总计</t>
    <phoneticPr fontId="6" type="noConversion"/>
  </si>
  <si>
    <r>
      <t xml:space="preserve">2025年预算达成说明
</t>
    </r>
    <r>
      <rPr>
        <b/>
        <sz val="12"/>
        <color rgb="FFFF0000"/>
        <rFont val="微软雅黑"/>
        <family val="2"/>
        <charset val="134"/>
      </rPr>
      <t>达成情况低于80%，或大于100%的请详细备注说明</t>
    </r>
    <phoneticPr fontId="6" type="noConversion"/>
  </si>
  <si>
    <t>实际</t>
    <phoneticPr fontId="6" type="noConversion"/>
  </si>
  <si>
    <t>26年降幅目标（%）</t>
  </si>
  <si>
    <t>预算达成率</t>
  </si>
  <si>
    <t>单位：万元</t>
    <phoneticPr fontId="6" type="noConversion"/>
  </si>
  <si>
    <t>2023年（实际）</t>
    <phoneticPr fontId="6" type="noConversion"/>
  </si>
  <si>
    <t>2024年（预算）</t>
    <phoneticPr fontId="6" type="noConversion"/>
  </si>
  <si>
    <t>2024年（实际）</t>
    <phoneticPr fontId="6" type="noConversion"/>
  </si>
  <si>
    <t>2025年（预算）</t>
    <phoneticPr fontId="6" type="noConversion"/>
  </si>
  <si>
    <t>2025年（决算）</t>
    <phoneticPr fontId="6" type="noConversion"/>
  </si>
  <si>
    <t>2026年（预算）</t>
    <phoneticPr fontId="6" type="noConversion"/>
  </si>
  <si>
    <t>2026年预算较2025年决算差异</t>
    <phoneticPr fontId="6" type="noConversion"/>
  </si>
  <si>
    <t>月均
住宿人数</t>
    <phoneticPr fontId="6" type="noConversion"/>
  </si>
  <si>
    <t>月人均
费用（元）</t>
    <phoneticPr fontId="6" type="noConversion"/>
  </si>
  <si>
    <t>宿舍
费用</t>
    <phoneticPr fontId="6" type="noConversion"/>
  </si>
  <si>
    <t>宿舍营运费用（元）</t>
    <phoneticPr fontId="6" type="noConversion"/>
  </si>
  <si>
    <t>客房营运（元）</t>
    <phoneticPr fontId="6" type="noConversion"/>
  </si>
  <si>
    <t>宿舍租赁费（元）</t>
    <phoneticPr fontId="6" type="noConversion"/>
  </si>
  <si>
    <t>物业费用（元）</t>
    <phoneticPr fontId="6" type="noConversion"/>
  </si>
  <si>
    <t>氮化镓事业部小计</t>
    <phoneticPr fontId="6" type="noConversion"/>
  </si>
  <si>
    <t>砷化镓事业部小计</t>
    <phoneticPr fontId="6" type="noConversion"/>
  </si>
  <si>
    <t>湖北艾迈谱（MIP）</t>
    <phoneticPr fontId="6" type="noConversion"/>
  </si>
  <si>
    <t>特种应用事业部小计</t>
    <phoneticPr fontId="6" type="noConversion"/>
  </si>
  <si>
    <t>厦门集成</t>
    <phoneticPr fontId="6" type="noConversion"/>
  </si>
  <si>
    <t>泉州集成</t>
    <phoneticPr fontId="6" type="noConversion"/>
  </si>
  <si>
    <t>日本三安</t>
    <phoneticPr fontId="6" type="noConversion"/>
  </si>
  <si>
    <t>射频事业部小计</t>
    <phoneticPr fontId="6" type="noConversion"/>
  </si>
  <si>
    <t>重庆三安</t>
    <phoneticPr fontId="6" type="noConversion"/>
  </si>
  <si>
    <t>湖南三安</t>
    <phoneticPr fontId="6" type="noConversion"/>
  </si>
  <si>
    <t>电力电子事业部小计</t>
    <phoneticPr fontId="6" type="noConversion"/>
  </si>
  <si>
    <t>厦门半导体（销售）</t>
    <phoneticPr fontId="6" type="noConversion"/>
  </si>
  <si>
    <t>股份中心</t>
    <phoneticPr fontId="6" type="noConversion"/>
  </si>
  <si>
    <t>泉州职能部门</t>
    <phoneticPr fontId="6" type="noConversion"/>
  </si>
  <si>
    <t>北京三安</t>
    <phoneticPr fontId="6" type="noConversion"/>
  </si>
  <si>
    <t>安徽科技</t>
    <phoneticPr fontId="6" type="noConversion"/>
  </si>
  <si>
    <r>
      <t xml:space="preserve">2025年预算达成说明
</t>
    </r>
    <r>
      <rPr>
        <b/>
        <sz val="12"/>
        <color rgb="FFFF0000"/>
        <rFont val="微软雅黑"/>
        <family val="2"/>
        <charset val="134"/>
      </rPr>
      <t>达成情况低于80%，或大于100%的请详细备注说明</t>
    </r>
    <phoneticPr fontId="6" type="noConversion"/>
  </si>
  <si>
    <t>客房营运（元）</t>
    <phoneticPr fontId="6" type="noConversion"/>
  </si>
  <si>
    <t>人均用餐成本（元/人/餐）</t>
    <phoneticPr fontId="6" type="noConversion"/>
  </si>
  <si>
    <t>合计1</t>
    <phoneticPr fontId="6" type="noConversion"/>
  </si>
  <si>
    <t>合计2</t>
    <phoneticPr fontId="6" type="noConversion"/>
  </si>
  <si>
    <t>总计</t>
    <phoneticPr fontId="6" type="noConversion"/>
  </si>
  <si>
    <t>总计</t>
    <phoneticPr fontId="6" type="noConversion"/>
  </si>
  <si>
    <t>香港三安</t>
    <phoneticPr fontId="6" type="noConversion"/>
  </si>
  <si>
    <t>安意法</t>
    <phoneticPr fontId="6" type="noConversion"/>
  </si>
  <si>
    <t>厦门半导体（销售）</t>
    <phoneticPr fontId="6" type="noConversion"/>
  </si>
  <si>
    <t>泉州职能部门</t>
    <phoneticPr fontId="6" type="noConversion"/>
  </si>
  <si>
    <t>朗明纳斯</t>
    <phoneticPr fontId="6" type="noConversion"/>
  </si>
  <si>
    <t>安瑞光电</t>
    <phoneticPr fontId="6" type="noConversion"/>
  </si>
  <si>
    <t>合计1</t>
    <phoneticPr fontId="6" type="noConversion"/>
  </si>
  <si>
    <t>银泽新材料</t>
    <phoneticPr fontId="6" type="noConversion"/>
  </si>
  <si>
    <t>股份中心小计</t>
    <phoneticPr fontId="7" type="noConversion"/>
  </si>
  <si>
    <t>股份总经理室</t>
    <phoneticPr fontId="6" type="noConversion"/>
  </si>
  <si>
    <t>基建中心</t>
    <phoneticPr fontId="6" type="noConversion"/>
  </si>
  <si>
    <t>财务中心</t>
    <phoneticPr fontId="6" type="noConversion"/>
  </si>
  <si>
    <t>信息化中心</t>
    <phoneticPr fontId="6" type="noConversion"/>
  </si>
  <si>
    <t>风控中心</t>
    <phoneticPr fontId="6" type="noConversion"/>
  </si>
  <si>
    <t>战略营运中心</t>
    <phoneticPr fontId="6" type="noConversion"/>
  </si>
  <si>
    <t>总经办</t>
    <phoneticPr fontId="6" type="noConversion"/>
  </si>
  <si>
    <t>品管中心</t>
    <phoneticPr fontId="6" type="noConversion"/>
  </si>
  <si>
    <t>证券中心</t>
    <phoneticPr fontId="6" type="noConversion"/>
  </si>
  <si>
    <t>人资中心</t>
    <phoneticPr fontId="6" type="noConversion"/>
  </si>
  <si>
    <t>技术中心</t>
    <phoneticPr fontId="6" type="noConversion"/>
  </si>
  <si>
    <t>采购中心</t>
    <phoneticPr fontId="6" type="noConversion"/>
  </si>
  <si>
    <t>电力电子事业部小计</t>
    <phoneticPr fontId="7" type="noConversion"/>
  </si>
  <si>
    <t>重庆三安</t>
    <phoneticPr fontId="6" type="noConversion"/>
  </si>
  <si>
    <t>湖南三安</t>
    <phoneticPr fontId="6" type="noConversion"/>
  </si>
  <si>
    <t>光技术（OD板块）小计</t>
    <phoneticPr fontId="6" type="noConversion"/>
  </si>
  <si>
    <t>泉州光通讯</t>
    <phoneticPr fontId="6" type="noConversion"/>
  </si>
  <si>
    <t>射频事业部小计</t>
    <phoneticPr fontId="6" type="noConversion"/>
  </si>
  <si>
    <t>日本三安(海外公司）</t>
    <phoneticPr fontId="6" type="noConversion"/>
  </si>
  <si>
    <t>泉州集成</t>
    <phoneticPr fontId="6" type="noConversion"/>
  </si>
  <si>
    <t>厦门集成</t>
    <phoneticPr fontId="6" type="noConversion"/>
  </si>
  <si>
    <t>特种应用事业部小计</t>
    <phoneticPr fontId="6" type="noConversion"/>
  </si>
  <si>
    <t>湖北艾迈谱（MIP</t>
    <phoneticPr fontId="6" type="noConversion"/>
  </si>
  <si>
    <t>泉州三安（RGB）</t>
    <phoneticPr fontId="6" type="noConversion"/>
  </si>
  <si>
    <t>砷化镓事业部小计</t>
    <phoneticPr fontId="6" type="noConversion"/>
  </si>
  <si>
    <t>泉州三安（砷化镓）</t>
    <phoneticPr fontId="6" type="noConversion"/>
  </si>
  <si>
    <t>天津三安</t>
    <phoneticPr fontId="6" type="noConversion"/>
  </si>
  <si>
    <t>氮化镓事业部小计</t>
    <phoneticPr fontId="6" type="noConversion"/>
  </si>
  <si>
    <t>泉州三安（氮化镓）</t>
    <phoneticPr fontId="6" type="noConversion"/>
  </si>
  <si>
    <t>晶安光电</t>
    <phoneticPr fontId="6" type="noConversion"/>
  </si>
  <si>
    <t>湖北三安（氮化镓）</t>
    <phoneticPr fontId="6" type="noConversion"/>
  </si>
  <si>
    <t>安徽三安</t>
    <phoneticPr fontId="6" type="noConversion"/>
  </si>
  <si>
    <t>厦门三安</t>
    <phoneticPr fontId="6" type="noConversion"/>
  </si>
  <si>
    <t>预算达成率</t>
    <phoneticPr fontId="6" type="noConversion"/>
  </si>
  <si>
    <t>实际预估</t>
    <phoneticPr fontId="6" type="noConversion"/>
  </si>
  <si>
    <t>预算</t>
    <phoneticPr fontId="7" type="noConversion"/>
  </si>
  <si>
    <t xml:space="preserve">实际 </t>
    <phoneticPr fontId="6" type="noConversion"/>
  </si>
  <si>
    <t>单位</t>
    <phoneticPr fontId="6" type="noConversion"/>
  </si>
  <si>
    <r>
      <t xml:space="preserve">2025年预算达成说明
</t>
    </r>
    <r>
      <rPr>
        <b/>
        <sz val="12"/>
        <color rgb="FFFF0000"/>
        <rFont val="微软雅黑"/>
        <family val="2"/>
        <charset val="134"/>
      </rPr>
      <t>达成情况低于80%，或大于100%的请详细备注说明</t>
    </r>
    <phoneticPr fontId="6" type="noConversion"/>
  </si>
  <si>
    <r>
      <t xml:space="preserve">说明
</t>
    </r>
    <r>
      <rPr>
        <b/>
        <sz val="12"/>
        <color rgb="FFFF0000"/>
        <rFont val="微软雅黑"/>
        <family val="2"/>
        <charset val="134"/>
      </rPr>
      <t>未达成2026年预算逻辑要求的，请详细备注</t>
    </r>
    <phoneticPr fontId="7" type="noConversion"/>
  </si>
  <si>
    <t>26年降幅目标（%）</t>
    <phoneticPr fontId="6" type="noConversion"/>
  </si>
  <si>
    <t>26年预估</t>
    <phoneticPr fontId="6" type="noConversion"/>
  </si>
  <si>
    <t>2025年全年预估</t>
    <phoneticPr fontId="6" type="noConversion"/>
  </si>
  <si>
    <t>2024年</t>
    <phoneticPr fontId="6" type="noConversion"/>
  </si>
  <si>
    <t>2023年</t>
    <phoneticPr fontId="6" type="noConversion"/>
  </si>
  <si>
    <t>单位：万元</t>
    <phoneticPr fontId="6" type="noConversion"/>
  </si>
  <si>
    <t>香港三安</t>
    <phoneticPr fontId="6" type="noConversion"/>
  </si>
  <si>
    <t>总办办公费</t>
    <phoneticPr fontId="6" type="noConversion"/>
  </si>
  <si>
    <t>按营收比总控费用，小于26年营收比千分之4
费用增长率不超过营收增长率的50%</t>
    <phoneticPr fontId="6" type="noConversion"/>
  </si>
  <si>
    <t>2026年预算逻辑</t>
    <phoneticPr fontId="6" type="noConversion"/>
  </si>
  <si>
    <t>月人均
费用（元）</t>
    <phoneticPr fontId="7" type="noConversion"/>
  </si>
  <si>
    <t>洗衣房费用（元）</t>
    <phoneticPr fontId="6" type="noConversion"/>
  </si>
  <si>
    <t>费用
合计</t>
    <phoneticPr fontId="7" type="noConversion"/>
  </si>
  <si>
    <t>单位：万元</t>
    <phoneticPr fontId="6" type="noConversion"/>
  </si>
  <si>
    <t>类目</t>
    <phoneticPr fontId="6" type="noConversion"/>
  </si>
  <si>
    <t>2025年预算收入（万元）</t>
    <phoneticPr fontId="6" type="noConversion"/>
  </si>
  <si>
    <t>2026年预算收入（万元）</t>
    <phoneticPr fontId="6" type="noConversion"/>
  </si>
  <si>
    <t>2026年较2025提升比例</t>
    <phoneticPr fontId="6" type="noConversion"/>
  </si>
  <si>
    <t>环安模块</t>
    <phoneticPr fontId="6" type="noConversion"/>
  </si>
  <si>
    <t>后勤模块（经营项目）</t>
    <phoneticPr fontId="6" type="noConversion"/>
  </si>
  <si>
    <t>后勤模块（宿舍）</t>
    <phoneticPr fontId="6" type="noConversion"/>
  </si>
  <si>
    <t>合计</t>
    <phoneticPr fontId="6" type="noConversion"/>
  </si>
  <si>
    <t>安瑞光电</t>
    <phoneticPr fontId="6" type="noConversion"/>
  </si>
  <si>
    <t>安意法</t>
    <phoneticPr fontId="6" type="noConversion"/>
  </si>
  <si>
    <t>其他单位</t>
    <phoneticPr fontId="6" type="noConversion"/>
  </si>
  <si>
    <t>合计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</si>
</sst>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 * #,##0.00_ ;_ * \-#,##0.00_ ;_ * &quot;-&quot;??_ ;_ @_ "/>
    <numFmt numFmtId="176" formatCode="0.00_);[Red]\(0.00\)"/>
    <numFmt numFmtId="177" formatCode="0.0_);[Red]\(0.0\)"/>
    <numFmt numFmtId="178" formatCode="0.0000_);[Red]\(0.0000\)"/>
    <numFmt numFmtId="179" formatCode="0.00_ "/>
    <numFmt numFmtId="180" formatCode="0_);[Red]\(0\)"/>
    <numFmt numFmtId="181" formatCode="0_ "/>
    <numFmt numFmtId="182" formatCode="0.00000000000_ "/>
    <numFmt numFmtId="183" formatCode="_ * #,##0_ ;_ * \-#,##0_ ;_ * &quot;-&quot;??_ ;_ @_ "/>
    <numFmt numFmtId="184" formatCode="0.0\‰"/>
  </numFmts>
  <fonts count="42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rgb="FFFA7D00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theme="1"/>
      <name val="宋体"/>
      <family val="2"/>
      <scheme val="minor"/>
    </font>
    <font>
      <b/>
      <sz val="11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1"/>
      <color theme="1"/>
      <name val="Tahoma"/>
      <family val="2"/>
      <charset val="134"/>
    </font>
    <font>
      <sz val="10"/>
      <color rgb="FF0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0.5"/>
      <color rgb="FF000000"/>
      <name val="微软雅黑"/>
      <family val="2"/>
      <charset val="134"/>
    </font>
    <font>
      <sz val="10.5"/>
      <color rgb="FF00000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0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2"/>
      <name val="微软雅黑"/>
      <family val="2"/>
      <charset val="134"/>
    </font>
    <font>
      <sz val="12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sz val="12"/>
      <color rgb="FF000000"/>
      <name val="微软雅黑"/>
      <family val="2"/>
      <charset val="134"/>
    </font>
  </fonts>
  <fills count="2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6">
    <xf numFmtId="0" fontId="0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2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" fillId="0" borderId="1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67">
    <xf numFmtId="0" fontId="0" fillId="0" borderId="0" xfId="0"/>
    <xf numFmtId="0" fontId="8" fillId="0" borderId="0" xfId="2" applyFont="1" applyFill="1"/>
    <xf numFmtId="0" fontId="8" fillId="0" borderId="0" xfId="2" applyFont="1" applyFill="1" applyAlignment="1">
      <alignment horizontal="center" vertical="center"/>
    </xf>
    <xf numFmtId="10" fontId="8" fillId="0" borderId="0" xfId="2" applyNumberFormat="1" applyFont="1" applyFill="1" applyAlignment="1">
      <alignment horizontal="center" vertical="center"/>
    </xf>
    <xf numFmtId="178" fontId="8" fillId="0" borderId="8" xfId="2" applyNumberFormat="1" applyFont="1" applyFill="1" applyBorder="1" applyAlignment="1">
      <alignment horizontal="center" vertical="center"/>
    </xf>
    <xf numFmtId="179" fontId="8" fillId="0" borderId="0" xfId="2" applyNumberFormat="1" applyFont="1" applyFill="1" applyAlignment="1">
      <alignment horizontal="center" vertical="center"/>
    </xf>
    <xf numFmtId="180" fontId="8" fillId="0" borderId="0" xfId="2" applyNumberFormat="1" applyFont="1" applyFill="1" applyBorder="1" applyAlignment="1">
      <alignment horizontal="center" vertical="center"/>
    </xf>
    <xf numFmtId="176" fontId="8" fillId="0" borderId="0" xfId="2" applyNumberFormat="1" applyFont="1" applyFill="1" applyBorder="1" applyAlignment="1">
      <alignment horizontal="center" vertical="center"/>
    </xf>
    <xf numFmtId="10" fontId="8" fillId="0" borderId="0" xfId="2" applyNumberFormat="1" applyFont="1" applyFill="1" applyBorder="1" applyAlignment="1">
      <alignment horizontal="center" vertical="center"/>
    </xf>
    <xf numFmtId="176" fontId="8" fillId="0" borderId="8" xfId="2" applyNumberFormat="1" applyFont="1" applyFill="1" applyBorder="1" applyAlignment="1">
      <alignment horizontal="center" vertical="center"/>
    </xf>
    <xf numFmtId="176" fontId="8" fillId="0" borderId="0" xfId="2" applyNumberFormat="1" applyFont="1" applyFill="1" applyAlignment="1">
      <alignment horizontal="center" vertical="center"/>
    </xf>
    <xf numFmtId="178" fontId="8" fillId="0" borderId="0" xfId="2" applyNumberFormat="1" applyFont="1" applyFill="1" applyAlignment="1">
      <alignment horizontal="center" vertical="center"/>
    </xf>
    <xf numFmtId="180" fontId="8" fillId="0" borderId="0" xfId="2" applyNumberFormat="1" applyFont="1" applyFill="1" applyAlignment="1">
      <alignment horizontal="center" vertical="center"/>
    </xf>
    <xf numFmtId="176" fontId="9" fillId="0" borderId="0" xfId="2" applyNumberFormat="1" applyFont="1" applyFill="1" applyBorder="1" applyAlignment="1">
      <alignment horizontal="center" vertical="center"/>
    </xf>
    <xf numFmtId="177" fontId="9" fillId="0" borderId="0" xfId="2" applyNumberFormat="1" applyFont="1" applyFill="1" applyBorder="1" applyAlignment="1">
      <alignment horizontal="center" vertical="center"/>
    </xf>
    <xf numFmtId="180" fontId="9" fillId="0" borderId="0" xfId="2" applyNumberFormat="1" applyFont="1" applyFill="1" applyBorder="1" applyAlignment="1">
      <alignment horizontal="center" vertical="center"/>
    </xf>
    <xf numFmtId="10" fontId="9" fillId="0" borderId="0" xfId="2" applyNumberFormat="1" applyFont="1" applyFill="1" applyBorder="1" applyAlignment="1">
      <alignment horizontal="center" vertical="center"/>
    </xf>
    <xf numFmtId="10" fontId="9" fillId="0" borderId="0" xfId="2" applyNumberFormat="1" applyFont="1" applyFill="1" applyAlignment="1">
      <alignment horizontal="center" vertical="center"/>
    </xf>
    <xf numFmtId="0" fontId="8" fillId="0" borderId="0" xfId="2" applyFont="1" applyFill="1" applyAlignment="1"/>
    <xf numFmtId="10" fontId="8" fillId="0" borderId="0" xfId="2" applyNumberFormat="1" applyFont="1" applyFill="1" applyAlignment="1"/>
    <xf numFmtId="178" fontId="8" fillId="0" borderId="0" xfId="2" applyNumberFormat="1" applyFont="1" applyFill="1" applyAlignment="1"/>
    <xf numFmtId="179" fontId="8" fillId="0" borderId="0" xfId="2" applyNumberFormat="1" applyFont="1" applyFill="1" applyAlignment="1"/>
    <xf numFmtId="180" fontId="8" fillId="0" borderId="0" xfId="2" applyNumberFormat="1" applyFont="1" applyFill="1" applyAlignment="1"/>
    <xf numFmtId="176" fontId="8" fillId="0" borderId="0" xfId="2" applyNumberFormat="1" applyFont="1" applyFill="1" applyAlignment="1"/>
    <xf numFmtId="176" fontId="8" fillId="0" borderId="0" xfId="2" applyNumberFormat="1" applyFont="1" applyFill="1"/>
    <xf numFmtId="178" fontId="8" fillId="0" borderId="0" xfId="2" applyNumberFormat="1" applyFont="1" applyFill="1"/>
    <xf numFmtId="176" fontId="9" fillId="0" borderId="0" xfId="2" applyNumberFormat="1" applyFont="1" applyFill="1" applyAlignment="1">
      <alignment horizontal="center" vertical="center"/>
    </xf>
    <xf numFmtId="177" fontId="9" fillId="0" borderId="0" xfId="2" applyNumberFormat="1" applyFont="1" applyFill="1" applyAlignment="1">
      <alignment horizontal="center" vertical="center"/>
    </xf>
    <xf numFmtId="180" fontId="9" fillId="0" borderId="0" xfId="2" applyNumberFormat="1" applyFont="1" applyFill="1" applyAlignment="1">
      <alignment horizontal="center" vertical="center"/>
    </xf>
    <xf numFmtId="180" fontId="3" fillId="0" borderId="0" xfId="2" applyNumberFormat="1" applyFill="1" applyAlignment="1">
      <alignment horizontal="center" vertical="center" wrapText="1"/>
    </xf>
    <xf numFmtId="176" fontId="3" fillId="0" borderId="0" xfId="2" applyNumberFormat="1" applyFill="1" applyAlignment="1">
      <alignment horizontal="center" vertical="center" wrapText="1"/>
    </xf>
    <xf numFmtId="179" fontId="3" fillId="0" borderId="0" xfId="2" applyNumberFormat="1" applyFill="1" applyAlignment="1">
      <alignment horizontal="center" vertical="center" wrapText="1"/>
    </xf>
    <xf numFmtId="181" fontId="14" fillId="7" borderId="3" xfId="0" applyNumberFormat="1" applyFont="1" applyFill="1" applyBorder="1" applyAlignment="1">
      <alignment horizontal="center" vertical="center" wrapText="1"/>
    </xf>
    <xf numFmtId="179" fontId="14" fillId="7" borderId="3" xfId="0" applyNumberFormat="1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/>
    </xf>
    <xf numFmtId="176" fontId="14" fillId="0" borderId="3" xfId="2" applyNumberFormat="1" applyFont="1" applyFill="1" applyBorder="1" applyAlignment="1">
      <alignment horizontal="left" vertical="center" wrapText="1"/>
    </xf>
    <xf numFmtId="181" fontId="16" fillId="0" borderId="3" xfId="0" applyNumberFormat="1" applyFont="1" applyBorder="1" applyAlignment="1">
      <alignment horizontal="center" vertical="center"/>
    </xf>
    <xf numFmtId="179" fontId="16" fillId="0" borderId="3" xfId="0" applyNumberFormat="1" applyFont="1" applyBorder="1" applyAlignment="1">
      <alignment horizontal="center" vertical="center"/>
    </xf>
    <xf numFmtId="180" fontId="16" fillId="0" borderId="3" xfId="0" applyNumberFormat="1" applyFont="1" applyBorder="1" applyAlignment="1">
      <alignment horizontal="center" vertical="center"/>
    </xf>
    <xf numFmtId="10" fontId="17" fillId="0" borderId="3" xfId="1" applyNumberFormat="1" applyFont="1" applyBorder="1" applyAlignment="1">
      <alignment horizontal="center" vertical="center"/>
    </xf>
    <xf numFmtId="180" fontId="0" fillId="0" borderId="0" xfId="0" applyNumberFormat="1"/>
    <xf numFmtId="181" fontId="18" fillId="0" borderId="0" xfId="0" applyNumberFormat="1" applyFont="1"/>
    <xf numFmtId="10" fontId="16" fillId="0" borderId="3" xfId="1" applyNumberFormat="1" applyFont="1" applyBorder="1" applyAlignment="1">
      <alignment horizontal="center" vertical="center"/>
    </xf>
    <xf numFmtId="181" fontId="15" fillId="0" borderId="3" xfId="0" applyNumberFormat="1" applyFont="1" applyBorder="1" applyAlignment="1">
      <alignment horizontal="center" vertical="center"/>
    </xf>
    <xf numFmtId="179" fontId="15" fillId="0" borderId="3" xfId="0" applyNumberFormat="1" applyFont="1" applyBorder="1" applyAlignment="1">
      <alignment horizontal="center" vertical="center"/>
    </xf>
    <xf numFmtId="180" fontId="15" fillId="0" borderId="3" xfId="0" applyNumberFormat="1" applyFont="1" applyBorder="1" applyAlignment="1">
      <alignment horizontal="center" vertical="center"/>
    </xf>
    <xf numFmtId="2" fontId="14" fillId="0" borderId="3" xfId="2" applyNumberFormat="1" applyFont="1" applyFill="1" applyBorder="1" applyAlignment="1">
      <alignment horizontal="left" vertical="center" wrapText="1"/>
    </xf>
    <xf numFmtId="181" fontId="19" fillId="7" borderId="3" xfId="0" applyNumberFormat="1" applyFont="1" applyFill="1" applyBorder="1" applyAlignment="1">
      <alignment horizontal="center" vertical="center"/>
    </xf>
    <xf numFmtId="179" fontId="19" fillId="7" borderId="3" xfId="0" applyNumberFormat="1" applyFont="1" applyFill="1" applyBorder="1" applyAlignment="1">
      <alignment horizontal="center" vertical="center"/>
    </xf>
    <xf numFmtId="180" fontId="19" fillId="7" borderId="3" xfId="0" applyNumberFormat="1" applyFont="1" applyFill="1" applyBorder="1" applyAlignment="1">
      <alignment horizontal="center" vertical="center"/>
    </xf>
    <xf numFmtId="10" fontId="19" fillId="7" borderId="3" xfId="1" applyNumberFormat="1" applyFont="1" applyFill="1" applyBorder="1" applyAlignment="1">
      <alignment horizontal="center" vertical="center"/>
    </xf>
    <xf numFmtId="0" fontId="18" fillId="0" borderId="0" xfId="0" applyFont="1"/>
    <xf numFmtId="10" fontId="15" fillId="0" borderId="3" xfId="1" applyNumberFormat="1" applyFont="1" applyBorder="1" applyAlignment="1">
      <alignment horizontal="center" vertical="center"/>
    </xf>
    <xf numFmtId="179" fontId="15" fillId="0" borderId="3" xfId="0" applyNumberFormat="1" applyFont="1" applyFill="1" applyBorder="1" applyAlignment="1">
      <alignment horizontal="center" vertical="center"/>
    </xf>
    <xf numFmtId="181" fontId="19" fillId="9" borderId="3" xfId="0" applyNumberFormat="1" applyFont="1" applyFill="1" applyBorder="1" applyAlignment="1">
      <alignment horizontal="center" vertical="center"/>
    </xf>
    <xf numFmtId="179" fontId="19" fillId="4" borderId="3" xfId="0" applyNumberFormat="1" applyFont="1" applyFill="1" applyBorder="1" applyAlignment="1">
      <alignment horizontal="center" vertical="center"/>
    </xf>
    <xf numFmtId="181" fontId="19" fillId="10" borderId="3" xfId="0" applyNumberFormat="1" applyFont="1" applyFill="1" applyBorder="1" applyAlignment="1">
      <alignment horizontal="center" vertical="center"/>
    </xf>
    <xf numFmtId="179" fontId="16" fillId="0" borderId="9" xfId="0" applyNumberFormat="1" applyFont="1" applyFill="1" applyBorder="1" applyAlignment="1">
      <alignment horizontal="center" vertical="center"/>
    </xf>
    <xf numFmtId="10" fontId="14" fillId="8" borderId="3" xfId="1" applyNumberFormat="1" applyFont="1" applyFill="1" applyBorder="1" applyAlignment="1">
      <alignment horizontal="center" vertical="center"/>
    </xf>
    <xf numFmtId="181" fontId="16" fillId="0" borderId="0" xfId="0" applyNumberFormat="1" applyFont="1" applyAlignment="1">
      <alignment horizontal="center" vertical="center"/>
    </xf>
    <xf numFmtId="179" fontId="16" fillId="0" borderId="0" xfId="0" applyNumberFormat="1" applyFont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9" fontId="16" fillId="0" borderId="0" xfId="1" applyFont="1" applyAlignment="1">
      <alignment horizontal="center" vertical="center"/>
    </xf>
    <xf numFmtId="179" fontId="0" fillId="0" borderId="0" xfId="0" applyNumberFormat="1"/>
    <xf numFmtId="0" fontId="16" fillId="0" borderId="0" xfId="0" applyFont="1"/>
    <xf numFmtId="180" fontId="14" fillId="8" borderId="3" xfId="0" applyNumberFormat="1" applyFont="1" applyFill="1" applyBorder="1" applyAlignment="1">
      <alignment horizontal="center" vertical="center" wrapText="1"/>
    </xf>
    <xf numFmtId="176" fontId="16" fillId="0" borderId="3" xfId="0" applyNumberFormat="1" applyFont="1" applyBorder="1" applyAlignment="1">
      <alignment horizontal="center" vertical="center"/>
    </xf>
    <xf numFmtId="176" fontId="24" fillId="0" borderId="10" xfId="0" applyNumberFormat="1" applyFont="1" applyBorder="1" applyAlignment="1">
      <alignment horizontal="center" vertical="center" wrapText="1"/>
    </xf>
    <xf numFmtId="176" fontId="15" fillId="0" borderId="3" xfId="0" applyNumberFormat="1" applyFont="1" applyBorder="1" applyAlignment="1">
      <alignment horizontal="center" vertical="center"/>
    </xf>
    <xf numFmtId="181" fontId="16" fillId="0" borderId="0" xfId="0" applyNumberFormat="1" applyFont="1"/>
    <xf numFmtId="179" fontId="16" fillId="0" borderId="0" xfId="0" applyNumberFormat="1" applyFont="1"/>
    <xf numFmtId="180" fontId="19" fillId="8" borderId="3" xfId="0" applyNumberFormat="1" applyFont="1" applyFill="1" applyBorder="1" applyAlignment="1">
      <alignment horizontal="center" vertical="center"/>
    </xf>
    <xf numFmtId="179" fontId="19" fillId="8" borderId="3" xfId="0" applyNumberFormat="1" applyFont="1" applyFill="1" applyBorder="1" applyAlignment="1">
      <alignment horizontal="center" vertical="center"/>
    </xf>
    <xf numFmtId="176" fontId="19" fillId="8" borderId="3" xfId="0" applyNumberFormat="1" applyFont="1" applyFill="1" applyBorder="1" applyAlignment="1">
      <alignment horizontal="center" vertical="center"/>
    </xf>
    <xf numFmtId="180" fontId="14" fillId="8" borderId="3" xfId="0" applyNumberFormat="1" applyFont="1" applyFill="1" applyBorder="1" applyAlignment="1">
      <alignment horizontal="center" vertical="center"/>
    </xf>
    <xf numFmtId="176" fontId="14" fillId="8" borderId="3" xfId="0" applyNumberFormat="1" applyFont="1" applyFill="1" applyBorder="1" applyAlignment="1">
      <alignment horizontal="center" vertical="center"/>
    </xf>
    <xf numFmtId="0" fontId="19" fillId="0" borderId="0" xfId="0" applyFont="1"/>
    <xf numFmtId="176" fontId="15" fillId="0" borderId="3" xfId="0" applyNumberFormat="1" applyFont="1" applyFill="1" applyBorder="1" applyAlignment="1">
      <alignment horizontal="center" vertical="center"/>
    </xf>
    <xf numFmtId="180" fontId="19" fillId="9" borderId="3" xfId="0" applyNumberFormat="1" applyFont="1" applyFill="1" applyBorder="1" applyAlignment="1">
      <alignment horizontal="center" vertical="center"/>
    </xf>
    <xf numFmtId="179" fontId="19" fillId="11" borderId="3" xfId="0" applyNumberFormat="1" applyFont="1" applyFill="1" applyBorder="1" applyAlignment="1">
      <alignment horizontal="center" vertical="center"/>
    </xf>
    <xf numFmtId="176" fontId="19" fillId="5" borderId="3" xfId="0" applyNumberFormat="1" applyFont="1" applyFill="1" applyBorder="1" applyAlignment="1">
      <alignment horizontal="center" vertical="center"/>
    </xf>
    <xf numFmtId="176" fontId="19" fillId="11" borderId="3" xfId="0" applyNumberFormat="1" applyFont="1" applyFill="1" applyBorder="1" applyAlignment="1">
      <alignment horizontal="center" vertical="center"/>
    </xf>
    <xf numFmtId="180" fontId="14" fillId="9" borderId="3" xfId="0" applyNumberFormat="1" applyFont="1" applyFill="1" applyBorder="1" applyAlignment="1">
      <alignment horizontal="center" vertical="center"/>
    </xf>
    <xf numFmtId="176" fontId="14" fillId="11" borderId="3" xfId="0" applyNumberFormat="1" applyFont="1" applyFill="1" applyBorder="1" applyAlignment="1">
      <alignment horizontal="center" vertical="center"/>
    </xf>
    <xf numFmtId="176" fontId="14" fillId="5" borderId="3" xfId="0" applyNumberFormat="1" applyFont="1" applyFill="1" applyBorder="1" applyAlignment="1">
      <alignment horizontal="center" vertical="center"/>
    </xf>
    <xf numFmtId="176" fontId="16" fillId="0" borderId="0" xfId="0" applyNumberFormat="1" applyFont="1"/>
    <xf numFmtId="176" fontId="14" fillId="7" borderId="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180" fontId="16" fillId="0" borderId="0" xfId="0" applyNumberFormat="1" applyFont="1" applyAlignment="1">
      <alignment horizontal="center" vertical="center"/>
    </xf>
    <xf numFmtId="180" fontId="16" fillId="0" borderId="0" xfId="0" applyNumberFormat="1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9" fontId="16" fillId="0" borderId="0" xfId="1" applyFont="1" applyAlignment="1">
      <alignment horizontal="center"/>
    </xf>
    <xf numFmtId="180" fontId="16" fillId="0" borderId="0" xfId="0" applyNumberFormat="1" applyFont="1" applyAlignment="1">
      <alignment horizontal="center"/>
    </xf>
    <xf numFmtId="179" fontId="25" fillId="7" borderId="3" xfId="0" applyNumberFormat="1" applyFont="1" applyFill="1" applyBorder="1" applyAlignment="1">
      <alignment horizontal="center" vertical="center"/>
    </xf>
    <xf numFmtId="179" fontId="25" fillId="7" borderId="3" xfId="0" applyNumberFormat="1" applyFont="1" applyFill="1" applyBorder="1" applyAlignment="1">
      <alignment horizontal="center" vertical="center" wrapText="1"/>
    </xf>
    <xf numFmtId="176" fontId="0" fillId="0" borderId="0" xfId="0" applyNumberFormat="1"/>
    <xf numFmtId="176" fontId="19" fillId="7" borderId="3" xfId="0" applyNumberFormat="1" applyFont="1" applyFill="1" applyBorder="1" applyAlignment="1">
      <alignment horizontal="center" vertical="center"/>
    </xf>
    <xf numFmtId="179" fontId="19" fillId="5" borderId="3" xfId="0" applyNumberFormat="1" applyFont="1" applyFill="1" applyBorder="1" applyAlignment="1">
      <alignment horizontal="center" vertical="center"/>
    </xf>
    <xf numFmtId="179" fontId="19" fillId="12" borderId="3" xfId="0" applyNumberFormat="1" applyFont="1" applyFill="1" applyBorder="1" applyAlignment="1">
      <alignment horizontal="center" vertical="center"/>
    </xf>
    <xf numFmtId="179" fontId="19" fillId="13" borderId="3" xfId="0" applyNumberFormat="1" applyFont="1" applyFill="1" applyBorder="1" applyAlignment="1">
      <alignment horizontal="center" vertical="center"/>
    </xf>
    <xf numFmtId="179" fontId="18" fillId="0" borderId="0" xfId="0" applyNumberFormat="1" applyFont="1"/>
    <xf numFmtId="179" fontId="19" fillId="0" borderId="3" xfId="0" applyNumberFormat="1" applyFont="1" applyBorder="1" applyAlignment="1">
      <alignment horizontal="center" vertical="center"/>
    </xf>
    <xf numFmtId="176" fontId="19" fillId="4" borderId="3" xfId="0" applyNumberFormat="1" applyFont="1" applyFill="1" applyBorder="1" applyAlignment="1">
      <alignment horizontal="center" vertical="center"/>
    </xf>
    <xf numFmtId="176" fontId="19" fillId="13" borderId="3" xfId="0" applyNumberFormat="1" applyFont="1" applyFill="1" applyBorder="1" applyAlignment="1">
      <alignment horizontal="center" vertical="center"/>
    </xf>
    <xf numFmtId="10" fontId="26" fillId="7" borderId="3" xfId="1" applyNumberFormat="1" applyFont="1" applyFill="1" applyBorder="1" applyAlignment="1">
      <alignment horizontal="center" vertical="center"/>
    </xf>
    <xf numFmtId="176" fontId="18" fillId="0" borderId="0" xfId="0" applyNumberFormat="1" applyFont="1"/>
    <xf numFmtId="179" fontId="19" fillId="3" borderId="3" xfId="0" applyNumberFormat="1" applyFont="1" applyFill="1" applyBorder="1" applyAlignment="1">
      <alignment horizontal="center" vertical="center"/>
    </xf>
    <xf numFmtId="0" fontId="18" fillId="3" borderId="3" xfId="0" applyFont="1" applyFill="1" applyBorder="1"/>
    <xf numFmtId="10" fontId="19" fillId="3" borderId="3" xfId="1" applyNumberFormat="1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left" vertical="center" wrapText="1"/>
    </xf>
    <xf numFmtId="0" fontId="16" fillId="0" borderId="3" xfId="0" applyFont="1" applyFill="1" applyBorder="1" applyAlignment="1">
      <alignment vertical="center" wrapText="1"/>
    </xf>
    <xf numFmtId="10" fontId="16" fillId="0" borderId="3" xfId="0" applyNumberFormat="1" applyFont="1" applyFill="1" applyBorder="1" applyAlignment="1">
      <alignment horizontal="center" vertical="center"/>
    </xf>
    <xf numFmtId="10" fontId="16" fillId="0" borderId="3" xfId="0" applyNumberFormat="1" applyFont="1" applyBorder="1" applyAlignment="1">
      <alignment horizontal="center" vertical="center"/>
    </xf>
    <xf numFmtId="181" fontId="16" fillId="0" borderId="3" xfId="0" applyNumberFormat="1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27" fillId="0" borderId="3" xfId="0" applyFont="1" applyFill="1" applyBorder="1" applyAlignment="1">
      <alignment horizontal="center" vertical="center" wrapText="1" readingOrder="1"/>
    </xf>
    <xf numFmtId="0" fontId="28" fillId="0" borderId="3" xfId="0" applyFont="1" applyFill="1" applyBorder="1" applyAlignment="1">
      <alignment horizontal="left" vertical="center" wrapText="1" readingOrder="1"/>
    </xf>
    <xf numFmtId="176" fontId="14" fillId="7" borderId="3" xfId="2" applyNumberFormat="1" applyFont="1" applyFill="1" applyBorder="1" applyAlignment="1">
      <alignment horizontal="center" vertical="center" wrapText="1"/>
    </xf>
    <xf numFmtId="10" fontId="16" fillId="0" borderId="0" xfId="0" applyNumberFormat="1" applyFont="1" applyAlignment="1">
      <alignment horizontal="center" vertical="center"/>
    </xf>
    <xf numFmtId="10" fontId="19" fillId="0" borderId="3" xfId="0" applyNumberFormat="1" applyFont="1" applyFill="1" applyBorder="1" applyAlignment="1">
      <alignment horizontal="center" vertical="center"/>
    </xf>
    <xf numFmtId="176" fontId="16" fillId="0" borderId="3" xfId="0" applyNumberFormat="1" applyFont="1" applyFill="1" applyBorder="1" applyAlignment="1">
      <alignment horizontal="center" vertical="center"/>
    </xf>
    <xf numFmtId="176" fontId="16" fillId="0" borderId="3" xfId="0" applyNumberFormat="1" applyFont="1" applyFill="1" applyBorder="1" applyAlignment="1">
      <alignment horizontal="center" vertical="center" wrapText="1"/>
    </xf>
    <xf numFmtId="181" fontId="16" fillId="0" borderId="3" xfId="0" applyNumberFormat="1" applyFont="1" applyFill="1" applyBorder="1" applyAlignment="1">
      <alignment horizontal="center" vertical="center" wrapText="1"/>
    </xf>
    <xf numFmtId="10" fontId="19" fillId="0" borderId="3" xfId="0" applyNumberFormat="1" applyFont="1" applyFill="1" applyBorder="1" applyAlignment="1">
      <alignment horizontal="center" vertical="center" wrapText="1"/>
    </xf>
    <xf numFmtId="181" fontId="19" fillId="8" borderId="3" xfId="0" applyNumberFormat="1" applyFont="1" applyFill="1" applyBorder="1" applyAlignment="1">
      <alignment horizontal="center" vertical="center"/>
    </xf>
    <xf numFmtId="10" fontId="19" fillId="8" borderId="3" xfId="0" applyNumberFormat="1" applyFont="1" applyFill="1" applyBorder="1" applyAlignment="1">
      <alignment horizontal="center" vertical="center"/>
    </xf>
    <xf numFmtId="176" fontId="29" fillId="15" borderId="3" xfId="2" applyNumberFormat="1" applyFont="1" applyFill="1" applyBorder="1" applyAlignment="1">
      <alignment vertical="center" wrapText="1"/>
    </xf>
    <xf numFmtId="0" fontId="31" fillId="0" borderId="0" xfId="2" applyFont="1" applyFill="1"/>
    <xf numFmtId="176" fontId="29" fillId="15" borderId="3" xfId="2" applyNumberFormat="1" applyFont="1" applyFill="1" applyBorder="1" applyAlignment="1">
      <alignment horizontal="center" vertical="center" wrapText="1"/>
    </xf>
    <xf numFmtId="0" fontId="29" fillId="15" borderId="3" xfId="2" applyFont="1" applyFill="1" applyBorder="1" applyAlignment="1">
      <alignment horizontal="center" vertical="center" wrapText="1"/>
    </xf>
    <xf numFmtId="10" fontId="29" fillId="15" borderId="3" xfId="2" applyNumberFormat="1" applyFont="1" applyFill="1" applyBorder="1" applyAlignment="1">
      <alignment horizontal="center" vertical="center" wrapText="1"/>
    </xf>
    <xf numFmtId="178" fontId="29" fillId="15" borderId="3" xfId="2" applyNumberFormat="1" applyFont="1" applyFill="1" applyBorder="1" applyAlignment="1">
      <alignment horizontal="center" vertical="center" wrapText="1"/>
    </xf>
    <xf numFmtId="179" fontId="29" fillId="15" borderId="3" xfId="2" applyNumberFormat="1" applyFont="1" applyFill="1" applyBorder="1" applyAlignment="1">
      <alignment horizontal="center" vertical="center" wrapText="1"/>
    </xf>
    <xf numFmtId="180" fontId="29" fillId="15" borderId="3" xfId="2" applyNumberFormat="1" applyFont="1" applyFill="1" applyBorder="1" applyAlignment="1">
      <alignment horizontal="center" vertical="center" wrapText="1"/>
    </xf>
    <xf numFmtId="177" fontId="29" fillId="15" borderId="3" xfId="2" applyNumberFormat="1" applyFont="1" applyFill="1" applyBorder="1" applyAlignment="1">
      <alignment horizontal="center" vertical="center" wrapText="1"/>
    </xf>
    <xf numFmtId="176" fontId="31" fillId="0" borderId="3" xfId="2" applyNumberFormat="1" applyFont="1" applyFill="1" applyBorder="1" applyAlignment="1">
      <alignment horizontal="left" vertical="center" wrapText="1"/>
    </xf>
    <xf numFmtId="0" fontId="31" fillId="0" borderId="3" xfId="2" applyFont="1" applyFill="1" applyBorder="1" applyAlignment="1">
      <alignment horizontal="center" vertical="center"/>
    </xf>
    <xf numFmtId="10" fontId="31" fillId="0" borderId="3" xfId="2" applyNumberFormat="1" applyFont="1" applyFill="1" applyBorder="1" applyAlignment="1">
      <alignment horizontal="center" vertical="center"/>
    </xf>
    <xf numFmtId="178" fontId="31" fillId="0" borderId="3" xfId="2" applyNumberFormat="1" applyFont="1" applyFill="1" applyBorder="1" applyAlignment="1">
      <alignment horizontal="center" vertical="center"/>
    </xf>
    <xf numFmtId="179" fontId="31" fillId="0" borderId="3" xfId="2" applyNumberFormat="1" applyFont="1" applyFill="1" applyBorder="1" applyAlignment="1">
      <alignment horizontal="center" vertical="center"/>
    </xf>
    <xf numFmtId="180" fontId="31" fillId="0" borderId="3" xfId="2" applyNumberFormat="1" applyFont="1" applyFill="1" applyBorder="1" applyAlignment="1" applyProtection="1">
      <alignment horizontal="center" vertical="center"/>
      <protection locked="0"/>
    </xf>
    <xf numFmtId="176" fontId="31" fillId="0" borderId="3" xfId="2" applyNumberFormat="1" applyFont="1" applyFill="1" applyBorder="1" applyAlignment="1" applyProtection="1">
      <alignment horizontal="center" vertical="center"/>
      <protection locked="0"/>
    </xf>
    <xf numFmtId="176" fontId="31" fillId="0" borderId="3" xfId="2" applyNumberFormat="1" applyFont="1" applyFill="1" applyBorder="1" applyAlignment="1">
      <alignment horizontal="center" vertical="center"/>
    </xf>
    <xf numFmtId="180" fontId="31" fillId="0" borderId="3" xfId="2" applyNumberFormat="1" applyFont="1" applyFill="1" applyBorder="1" applyAlignment="1">
      <alignment horizontal="center" vertical="center"/>
    </xf>
    <xf numFmtId="176" fontId="32" fillId="0" borderId="3" xfId="2" applyNumberFormat="1" applyFont="1" applyFill="1" applyBorder="1" applyAlignment="1">
      <alignment horizontal="center" vertical="center"/>
    </xf>
    <xf numFmtId="177" fontId="32" fillId="0" borderId="3" xfId="2" applyNumberFormat="1" applyFont="1" applyFill="1" applyBorder="1" applyAlignment="1">
      <alignment horizontal="center" vertical="center"/>
    </xf>
    <xf numFmtId="180" fontId="32" fillId="0" borderId="3" xfId="2" applyNumberFormat="1" applyFont="1" applyFill="1" applyBorder="1" applyAlignment="1">
      <alignment horizontal="center" vertical="center"/>
    </xf>
    <xf numFmtId="10" fontId="32" fillId="0" borderId="3" xfId="2" applyNumberFormat="1" applyFont="1" applyFill="1" applyBorder="1" applyAlignment="1">
      <alignment horizontal="center" vertical="center"/>
    </xf>
    <xf numFmtId="176" fontId="33" fillId="3" borderId="3" xfId="2" applyNumberFormat="1" applyFont="1" applyFill="1" applyBorder="1" applyAlignment="1">
      <alignment horizontal="center" vertical="center" wrapText="1"/>
    </xf>
    <xf numFmtId="0" fontId="33" fillId="3" borderId="3" xfId="2" applyFont="1" applyFill="1" applyBorder="1" applyAlignment="1">
      <alignment horizontal="center" vertical="center"/>
    </xf>
    <xf numFmtId="10" fontId="33" fillId="3" borderId="3" xfId="2" applyNumberFormat="1" applyFont="1" applyFill="1" applyBorder="1" applyAlignment="1">
      <alignment horizontal="center" vertical="center"/>
    </xf>
    <xf numFmtId="178" fontId="33" fillId="3" borderId="3" xfId="2" applyNumberFormat="1" applyFont="1" applyFill="1" applyBorder="1" applyAlignment="1">
      <alignment horizontal="center" vertical="center"/>
    </xf>
    <xf numFmtId="179" fontId="33" fillId="3" borderId="3" xfId="2" applyNumberFormat="1" applyFont="1" applyFill="1" applyBorder="1" applyAlignment="1">
      <alignment horizontal="center" vertical="center"/>
    </xf>
    <xf numFmtId="180" fontId="33" fillId="3" borderId="3" xfId="2" applyNumberFormat="1" applyFont="1" applyFill="1" applyBorder="1" applyAlignment="1">
      <alignment horizontal="center" vertical="center"/>
    </xf>
    <xf numFmtId="176" fontId="33" fillId="3" borderId="3" xfId="2" applyNumberFormat="1" applyFont="1" applyFill="1" applyBorder="1" applyAlignment="1">
      <alignment horizontal="center" vertical="center"/>
    </xf>
    <xf numFmtId="176" fontId="20" fillId="3" borderId="3" xfId="2" applyNumberFormat="1" applyFont="1" applyFill="1" applyBorder="1" applyAlignment="1">
      <alignment horizontal="center" vertical="center"/>
    </xf>
    <xf numFmtId="177" fontId="20" fillId="3" borderId="3" xfId="2" applyNumberFormat="1" applyFont="1" applyFill="1" applyBorder="1" applyAlignment="1">
      <alignment horizontal="center" vertical="center"/>
    </xf>
    <xf numFmtId="180" fontId="20" fillId="3" borderId="3" xfId="2" applyNumberFormat="1" applyFont="1" applyFill="1" applyBorder="1" applyAlignment="1">
      <alignment horizontal="center" vertical="center"/>
    </xf>
    <xf numFmtId="10" fontId="20" fillId="3" borderId="3" xfId="2" applyNumberFormat="1" applyFont="1" applyFill="1" applyBorder="1" applyAlignment="1">
      <alignment horizontal="center" vertical="center"/>
    </xf>
    <xf numFmtId="0" fontId="33" fillId="0" borderId="0" xfId="2" applyFont="1" applyFill="1"/>
    <xf numFmtId="0" fontId="31" fillId="0" borderId="3" xfId="2" applyFont="1" applyFill="1" applyBorder="1" applyAlignment="1">
      <alignment horizontal="center" vertical="center" wrapText="1"/>
    </xf>
    <xf numFmtId="0" fontId="31" fillId="0" borderId="3" xfId="2" applyFont="1" applyFill="1" applyBorder="1" applyAlignment="1">
      <alignment vertical="center" wrapText="1"/>
    </xf>
    <xf numFmtId="180" fontId="33" fillId="3" borderId="3" xfId="2" applyNumberFormat="1" applyFont="1" applyFill="1" applyBorder="1" applyAlignment="1" applyProtection="1">
      <alignment horizontal="center" vertical="center"/>
      <protection locked="0"/>
    </xf>
    <xf numFmtId="176" fontId="33" fillId="3" borderId="3" xfId="2" applyNumberFormat="1" applyFont="1" applyFill="1" applyBorder="1" applyAlignment="1" applyProtection="1">
      <alignment horizontal="center" vertical="center"/>
      <protection locked="0"/>
    </xf>
    <xf numFmtId="0" fontId="33" fillId="2" borderId="3" xfId="2" applyFont="1" applyFill="1" applyBorder="1" applyAlignment="1">
      <alignment horizontal="center" vertical="center"/>
    </xf>
    <xf numFmtId="179" fontId="33" fillId="2" borderId="3" xfId="2" applyNumberFormat="1" applyFont="1" applyFill="1" applyBorder="1" applyAlignment="1">
      <alignment horizontal="center" vertical="center"/>
    </xf>
    <xf numFmtId="178" fontId="33" fillId="2" borderId="3" xfId="2" applyNumberFormat="1" applyFont="1" applyFill="1" applyBorder="1" applyAlignment="1">
      <alignment horizontal="center" vertical="center"/>
    </xf>
    <xf numFmtId="176" fontId="33" fillId="2" borderId="3" xfId="2" applyNumberFormat="1" applyFont="1" applyFill="1" applyBorder="1" applyAlignment="1">
      <alignment horizontal="center" vertical="center"/>
    </xf>
    <xf numFmtId="10" fontId="33" fillId="2" borderId="3" xfId="2" applyNumberFormat="1" applyFont="1" applyFill="1" applyBorder="1" applyAlignment="1">
      <alignment horizontal="center" vertical="center"/>
    </xf>
    <xf numFmtId="180" fontId="33" fillId="2" borderId="3" xfId="2" applyNumberFormat="1" applyFont="1" applyFill="1" applyBorder="1" applyAlignment="1">
      <alignment horizontal="center" vertical="center"/>
    </xf>
    <xf numFmtId="0" fontId="33" fillId="4" borderId="3" xfId="2" applyFont="1" applyFill="1" applyBorder="1" applyAlignment="1">
      <alignment horizontal="center" vertical="center"/>
    </xf>
    <xf numFmtId="176" fontId="33" fillId="5" borderId="3" xfId="2" applyNumberFormat="1" applyFont="1" applyFill="1" applyBorder="1" applyAlignment="1">
      <alignment horizontal="center" vertical="center"/>
    </xf>
    <xf numFmtId="176" fontId="33" fillId="6" borderId="3" xfId="2" applyNumberFormat="1" applyFont="1" applyFill="1" applyBorder="1" applyAlignment="1">
      <alignment horizontal="center" vertical="center"/>
    </xf>
    <xf numFmtId="180" fontId="33" fillId="4" borderId="3" xfId="2" applyNumberFormat="1" applyFont="1" applyFill="1" applyBorder="1" applyAlignment="1">
      <alignment horizontal="center" vertical="center"/>
    </xf>
    <xf numFmtId="176" fontId="20" fillId="2" borderId="3" xfId="2" applyNumberFormat="1" applyFont="1" applyFill="1" applyBorder="1" applyAlignment="1">
      <alignment horizontal="center" vertical="center"/>
    </xf>
    <xf numFmtId="176" fontId="15" fillId="0" borderId="3" xfId="2" applyNumberFormat="1" applyFont="1" applyFill="1" applyBorder="1" applyAlignment="1">
      <alignment horizontal="left" vertical="center" wrapText="1"/>
    </xf>
    <xf numFmtId="0" fontId="31" fillId="3" borderId="3" xfId="2" applyFont="1" applyFill="1" applyBorder="1" applyAlignment="1">
      <alignment horizontal="center" vertical="center"/>
    </xf>
    <xf numFmtId="10" fontId="31" fillId="3" borderId="3" xfId="2" applyNumberFormat="1" applyFont="1" applyFill="1" applyBorder="1" applyAlignment="1">
      <alignment horizontal="center" vertical="center"/>
    </xf>
    <xf numFmtId="178" fontId="31" fillId="3" borderId="3" xfId="2" applyNumberFormat="1" applyFont="1" applyFill="1" applyBorder="1" applyAlignment="1">
      <alignment horizontal="center" vertical="center"/>
    </xf>
    <xf numFmtId="179" fontId="31" fillId="3" borderId="3" xfId="2" applyNumberFormat="1" applyFont="1" applyFill="1" applyBorder="1" applyAlignment="1">
      <alignment horizontal="center" vertical="center"/>
    </xf>
    <xf numFmtId="180" fontId="31" fillId="3" borderId="3" xfId="2" applyNumberFormat="1" applyFont="1" applyFill="1" applyBorder="1" applyAlignment="1" applyProtection="1">
      <alignment horizontal="center" vertical="center"/>
      <protection locked="0"/>
    </xf>
    <xf numFmtId="176" fontId="31" fillId="3" borderId="3" xfId="2" applyNumberFormat="1" applyFont="1" applyFill="1" applyBorder="1" applyAlignment="1" applyProtection="1">
      <alignment horizontal="center" vertical="center"/>
      <protection locked="0"/>
    </xf>
    <xf numFmtId="176" fontId="31" fillId="3" borderId="3" xfId="2" applyNumberFormat="1" applyFont="1" applyFill="1" applyBorder="1" applyAlignment="1">
      <alignment horizontal="center" vertical="center"/>
    </xf>
    <xf numFmtId="0" fontId="19" fillId="15" borderId="3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10" fontId="20" fillId="2" borderId="3" xfId="2" applyNumberFormat="1" applyFont="1" applyFill="1" applyBorder="1" applyAlignment="1">
      <alignment horizontal="center" vertical="center"/>
    </xf>
    <xf numFmtId="178" fontId="20" fillId="2" borderId="3" xfId="2" applyNumberFormat="1" applyFont="1" applyFill="1" applyBorder="1" applyAlignment="1">
      <alignment horizontal="center" vertical="center"/>
    </xf>
    <xf numFmtId="179" fontId="20" fillId="2" borderId="3" xfId="2" applyNumberFormat="1" applyFont="1" applyFill="1" applyBorder="1" applyAlignment="1">
      <alignment horizontal="center" vertical="center"/>
    </xf>
    <xf numFmtId="180" fontId="20" fillId="2" borderId="3" xfId="2" applyNumberFormat="1" applyFont="1" applyFill="1" applyBorder="1" applyAlignment="1">
      <alignment horizontal="center" vertical="center"/>
    </xf>
    <xf numFmtId="0" fontId="20" fillId="4" borderId="3" xfId="2" applyFont="1" applyFill="1" applyBorder="1" applyAlignment="1">
      <alignment horizontal="center" vertical="center"/>
    </xf>
    <xf numFmtId="176" fontId="20" fillId="5" borderId="3" xfId="2" applyNumberFormat="1" applyFont="1" applyFill="1" applyBorder="1" applyAlignment="1">
      <alignment horizontal="center" vertical="center"/>
    </xf>
    <xf numFmtId="176" fontId="20" fillId="6" borderId="3" xfId="2" applyNumberFormat="1" applyFont="1" applyFill="1" applyBorder="1" applyAlignment="1">
      <alignment horizontal="center" vertical="center"/>
    </xf>
    <xf numFmtId="180" fontId="20" fillId="4" borderId="3" xfId="2" applyNumberFormat="1" applyFont="1" applyFill="1" applyBorder="1" applyAlignment="1">
      <alignment horizontal="center" vertical="center"/>
    </xf>
    <xf numFmtId="10" fontId="20" fillId="15" borderId="3" xfId="2" applyNumberFormat="1" applyFont="1" applyFill="1" applyBorder="1" applyAlignment="1">
      <alignment horizontal="center" vertical="center"/>
    </xf>
    <xf numFmtId="0" fontId="32" fillId="0" borderId="0" xfId="2" applyFont="1" applyFill="1"/>
    <xf numFmtId="0" fontId="3" fillId="0" borderId="0" xfId="2" applyFill="1" applyAlignment="1">
      <alignment vertical="center"/>
    </xf>
    <xf numFmtId="176" fontId="34" fillId="15" borderId="3" xfId="2" applyNumberFormat="1" applyFont="1" applyFill="1" applyBorder="1" applyAlignment="1">
      <alignment vertical="center" wrapText="1"/>
    </xf>
    <xf numFmtId="180" fontId="34" fillId="15" borderId="5" xfId="2" applyNumberFormat="1" applyFont="1" applyFill="1" applyBorder="1" applyAlignment="1">
      <alignment horizontal="center" vertical="center" wrapText="1"/>
    </xf>
    <xf numFmtId="0" fontId="16" fillId="0" borderId="0" xfId="2" applyFont="1" applyFill="1" applyAlignment="1">
      <alignment vertical="center"/>
    </xf>
    <xf numFmtId="176" fontId="34" fillId="15" borderId="3" xfId="2" applyNumberFormat="1" applyFont="1" applyFill="1" applyBorder="1" applyAlignment="1">
      <alignment horizontal="center" vertical="center" wrapText="1"/>
    </xf>
    <xf numFmtId="180" fontId="34" fillId="15" borderId="3" xfId="2" applyNumberFormat="1" applyFont="1" applyFill="1" applyBorder="1" applyAlignment="1">
      <alignment horizontal="center" vertical="center" wrapText="1"/>
    </xf>
    <xf numFmtId="9" fontId="34" fillId="15" borderId="3" xfId="2" applyNumberFormat="1" applyFont="1" applyFill="1" applyBorder="1" applyAlignment="1">
      <alignment horizontal="center" vertical="center" wrapText="1"/>
    </xf>
    <xf numFmtId="180" fontId="15" fillId="0" borderId="3" xfId="2" applyNumberFormat="1" applyFont="1" applyFill="1" applyBorder="1" applyAlignment="1">
      <alignment horizontal="center" vertical="center" wrapText="1"/>
    </xf>
    <xf numFmtId="176" fontId="15" fillId="0" borderId="3" xfId="2" applyNumberFormat="1" applyFont="1" applyFill="1" applyBorder="1" applyAlignment="1">
      <alignment horizontal="center" vertical="center" wrapText="1"/>
    </xf>
    <xf numFmtId="180" fontId="16" fillId="0" borderId="3" xfId="2" applyNumberFormat="1" applyFont="1" applyFill="1" applyBorder="1" applyAlignment="1">
      <alignment horizontal="center" vertical="center"/>
    </xf>
    <xf numFmtId="176" fontId="16" fillId="0" borderId="3" xfId="2" applyNumberFormat="1" applyFont="1" applyFill="1" applyBorder="1" applyAlignment="1">
      <alignment horizontal="center" vertical="center"/>
    </xf>
    <xf numFmtId="10" fontId="16" fillId="0" borderId="3" xfId="2" applyNumberFormat="1" applyFont="1" applyFill="1" applyBorder="1" applyAlignment="1">
      <alignment horizontal="center" vertical="center"/>
    </xf>
    <xf numFmtId="180" fontId="14" fillId="7" borderId="3" xfId="2" applyNumberFormat="1" applyFont="1" applyFill="1" applyBorder="1" applyAlignment="1">
      <alignment horizontal="center" vertical="center" wrapText="1"/>
    </xf>
    <xf numFmtId="176" fontId="19" fillId="7" borderId="3" xfId="2" applyNumberFormat="1" applyFont="1" applyFill="1" applyBorder="1" applyAlignment="1">
      <alignment horizontal="center" vertical="center"/>
    </xf>
    <xf numFmtId="180" fontId="19" fillId="7" borderId="3" xfId="2" applyNumberFormat="1" applyFont="1" applyFill="1" applyBorder="1" applyAlignment="1">
      <alignment horizontal="center" vertical="center"/>
    </xf>
    <xf numFmtId="10" fontId="19" fillId="7" borderId="3" xfId="2" applyNumberFormat="1" applyFont="1" applyFill="1" applyBorder="1" applyAlignment="1">
      <alignment horizontal="center" vertical="center"/>
    </xf>
    <xf numFmtId="0" fontId="19" fillId="0" borderId="0" xfId="2" applyFont="1" applyFill="1" applyAlignment="1">
      <alignment vertical="center"/>
    </xf>
    <xf numFmtId="180" fontId="15" fillId="0" borderId="3" xfId="2" applyNumberFormat="1" applyFont="1" applyFill="1" applyBorder="1" applyAlignment="1">
      <alignment horizontal="center" vertical="center"/>
    </xf>
    <xf numFmtId="180" fontId="14" fillId="4" borderId="3" xfId="2" applyNumberFormat="1" applyFont="1" applyFill="1" applyBorder="1" applyAlignment="1">
      <alignment horizontal="center" vertical="center" wrapText="1"/>
    </xf>
    <xf numFmtId="176" fontId="14" fillId="5" borderId="3" xfId="2" applyNumberFormat="1" applyFont="1" applyFill="1" applyBorder="1" applyAlignment="1">
      <alignment horizontal="center" vertical="center" wrapText="1"/>
    </xf>
    <xf numFmtId="176" fontId="14" fillId="6" borderId="3" xfId="2" applyNumberFormat="1" applyFont="1" applyFill="1" applyBorder="1" applyAlignment="1">
      <alignment horizontal="center" vertical="center" wrapText="1"/>
    </xf>
    <xf numFmtId="180" fontId="14" fillId="6" borderId="3" xfId="2" applyNumberFormat="1" applyFont="1" applyFill="1" applyBorder="1" applyAlignment="1">
      <alignment horizontal="center" vertical="center" wrapText="1"/>
    </xf>
    <xf numFmtId="176" fontId="19" fillId="5" borderId="3" xfId="2" applyNumberFormat="1" applyFont="1" applyFill="1" applyBorder="1" applyAlignment="1">
      <alignment horizontal="center" vertical="center"/>
    </xf>
    <xf numFmtId="180" fontId="19" fillId="6" borderId="3" xfId="2" applyNumberFormat="1" applyFont="1" applyFill="1" applyBorder="1" applyAlignment="1">
      <alignment horizontal="center" vertical="center"/>
    </xf>
    <xf numFmtId="10" fontId="19" fillId="3" borderId="3" xfId="2" applyNumberFormat="1" applyFont="1" applyFill="1" applyBorder="1" applyAlignment="1">
      <alignment horizontal="center" vertical="center"/>
    </xf>
    <xf numFmtId="180" fontId="19" fillId="4" borderId="3" xfId="2" applyNumberFormat="1" applyFont="1" applyFill="1" applyBorder="1" applyAlignment="1">
      <alignment horizontal="center" vertical="center"/>
    </xf>
    <xf numFmtId="176" fontId="19" fillId="2" borderId="3" xfId="2" applyNumberFormat="1" applyFont="1" applyFill="1" applyBorder="1" applyAlignment="1">
      <alignment horizontal="center" vertical="center"/>
    </xf>
    <xf numFmtId="10" fontId="19" fillId="0" borderId="0" xfId="2" applyNumberFormat="1" applyFont="1" applyFill="1" applyAlignment="1">
      <alignment vertical="center"/>
    </xf>
    <xf numFmtId="180" fontId="15" fillId="4" borderId="3" xfId="2" applyNumberFormat="1" applyFont="1" applyFill="1" applyBorder="1" applyAlignment="1">
      <alignment horizontal="center" vertical="center" wrapText="1"/>
    </xf>
    <xf numFmtId="176" fontId="15" fillId="5" borderId="3" xfId="2" applyNumberFormat="1" applyFont="1" applyFill="1" applyBorder="1" applyAlignment="1">
      <alignment horizontal="center" vertical="center" wrapText="1"/>
    </xf>
    <xf numFmtId="180" fontId="15" fillId="6" borderId="3" xfId="2" applyNumberFormat="1" applyFont="1" applyFill="1" applyBorder="1" applyAlignment="1">
      <alignment horizontal="center" vertical="center" wrapText="1"/>
    </xf>
    <xf numFmtId="180" fontId="19" fillId="4" borderId="3" xfId="2" applyNumberFormat="1" applyFont="1" applyFill="1" applyBorder="1" applyAlignment="1">
      <alignment horizontal="center" vertical="center" wrapText="1"/>
    </xf>
    <xf numFmtId="176" fontId="19" fillId="5" borderId="3" xfId="2" applyNumberFormat="1" applyFont="1" applyFill="1" applyBorder="1" applyAlignment="1">
      <alignment horizontal="center" vertical="center" wrapText="1"/>
    </xf>
    <xf numFmtId="10" fontId="19" fillId="15" borderId="3" xfId="2" applyNumberFormat="1" applyFont="1" applyFill="1" applyBorder="1" applyAlignment="1">
      <alignment horizontal="center" vertical="center"/>
    </xf>
    <xf numFmtId="0" fontId="19" fillId="0" borderId="0" xfId="2" applyFont="1" applyFill="1" applyAlignment="1">
      <alignment horizontal="center" vertical="center"/>
    </xf>
    <xf numFmtId="0" fontId="3" fillId="0" borderId="0" xfId="2" applyFill="1" applyAlignment="1">
      <alignment vertical="center" wrapText="1"/>
    </xf>
    <xf numFmtId="180" fontId="3" fillId="0" borderId="0" xfId="2" applyNumberFormat="1" applyFill="1" applyAlignment="1">
      <alignment horizontal="center" vertical="center"/>
    </xf>
    <xf numFmtId="176" fontId="3" fillId="0" borderId="0" xfId="2" applyNumberFormat="1" applyFill="1" applyAlignment="1">
      <alignment horizontal="center" vertical="center"/>
    </xf>
    <xf numFmtId="10" fontId="3" fillId="0" borderId="0" xfId="2" applyNumberFormat="1" applyFill="1" applyAlignment="1">
      <alignment horizontal="center" vertical="center"/>
    </xf>
    <xf numFmtId="176" fontId="33" fillId="7" borderId="3" xfId="2" applyNumberFormat="1" applyFont="1" applyFill="1" applyBorder="1" applyAlignment="1" applyProtection="1">
      <alignment horizontal="center" vertical="center" wrapText="1"/>
    </xf>
    <xf numFmtId="176" fontId="33" fillId="7" borderId="0" xfId="2" applyNumberFormat="1" applyFont="1" applyFill="1" applyAlignment="1" applyProtection="1">
      <alignment horizontal="center" vertical="center" wrapText="1"/>
      <protection locked="0"/>
    </xf>
    <xf numFmtId="10" fontId="33" fillId="7" borderId="3" xfId="2" applyNumberFormat="1" applyFont="1" applyFill="1" applyBorder="1" applyAlignment="1" applyProtection="1">
      <alignment horizontal="center" vertical="center" wrapText="1"/>
    </xf>
    <xf numFmtId="176" fontId="33" fillId="7" borderId="3" xfId="2" applyNumberFormat="1" applyFont="1" applyFill="1" applyBorder="1" applyAlignment="1" applyProtection="1">
      <alignment horizontal="center" vertical="center" wrapText="1"/>
      <protection locked="0"/>
    </xf>
    <xf numFmtId="10" fontId="33" fillId="7" borderId="3" xfId="2" applyNumberFormat="1" applyFont="1" applyFill="1" applyBorder="1" applyAlignment="1" applyProtection="1">
      <alignment horizontal="center" vertical="center" wrapText="1"/>
      <protection locked="0"/>
    </xf>
    <xf numFmtId="176" fontId="33" fillId="7" borderId="4" xfId="2" applyNumberFormat="1" applyFont="1" applyFill="1" applyBorder="1" applyAlignment="1" applyProtection="1">
      <alignment horizontal="center" vertical="center" wrapText="1"/>
      <protection locked="0"/>
    </xf>
    <xf numFmtId="10" fontId="33" fillId="7" borderId="4" xfId="2" applyNumberFormat="1" applyFont="1" applyFill="1" applyBorder="1" applyAlignment="1" applyProtection="1">
      <alignment horizontal="center" vertical="center" wrapText="1"/>
      <protection locked="0"/>
    </xf>
    <xf numFmtId="176" fontId="20" fillId="0" borderId="3" xfId="2" applyNumberFormat="1" applyFont="1" applyFill="1" applyBorder="1" applyAlignment="1" applyProtection="1">
      <alignment horizontal="center" vertical="center" wrapText="1"/>
    </xf>
    <xf numFmtId="181" fontId="31" fillId="17" borderId="3" xfId="2" applyNumberFormat="1" applyFont="1" applyFill="1" applyBorder="1" applyAlignment="1" applyProtection="1">
      <alignment horizontal="center" vertical="center" wrapText="1"/>
    </xf>
    <xf numFmtId="10" fontId="31" fillId="17" borderId="3" xfId="2" applyNumberFormat="1" applyFont="1" applyFill="1" applyBorder="1" applyAlignment="1" applyProtection="1">
      <alignment horizontal="center" vertical="center" wrapText="1"/>
    </xf>
    <xf numFmtId="181" fontId="32" fillId="0" borderId="3" xfId="2" applyNumberFormat="1" applyFont="1" applyFill="1" applyBorder="1" applyAlignment="1" applyProtection="1">
      <alignment horizontal="center" vertical="center" wrapText="1"/>
      <protection locked="0"/>
    </xf>
    <xf numFmtId="180" fontId="32" fillId="0" borderId="3" xfId="2" applyNumberFormat="1" applyFont="1" applyFill="1" applyBorder="1" applyAlignment="1" applyProtection="1">
      <alignment horizontal="center" vertical="center" wrapText="1"/>
      <protection locked="0"/>
    </xf>
    <xf numFmtId="10" fontId="32" fillId="0" borderId="4" xfId="2" applyNumberFormat="1" applyFont="1" applyFill="1" applyBorder="1" applyAlignment="1" applyProtection="1">
      <alignment horizontal="center" vertical="center" wrapText="1"/>
      <protection locked="0"/>
    </xf>
    <xf numFmtId="180" fontId="31" fillId="0" borderId="3" xfId="0" applyNumberFormat="1" applyFont="1" applyBorder="1" applyAlignment="1">
      <alignment horizontal="center" vertical="center"/>
    </xf>
    <xf numFmtId="181" fontId="32" fillId="0" borderId="4" xfId="2" applyNumberFormat="1" applyFont="1" applyFill="1" applyBorder="1" applyAlignment="1" applyProtection="1">
      <alignment horizontal="center" vertical="center" wrapText="1"/>
      <protection locked="0"/>
    </xf>
    <xf numFmtId="10" fontId="31" fillId="0" borderId="3" xfId="0" applyNumberFormat="1" applyFont="1" applyBorder="1" applyAlignment="1">
      <alignment horizontal="center" vertical="center"/>
    </xf>
    <xf numFmtId="176" fontId="31" fillId="17" borderId="3" xfId="2" applyNumberFormat="1" applyFont="1" applyFill="1" applyBorder="1" applyAlignment="1" applyProtection="1">
      <alignment horizontal="center" vertical="center" wrapText="1"/>
      <protection locked="0"/>
    </xf>
    <xf numFmtId="176" fontId="31" fillId="17" borderId="0" xfId="2" applyNumberFormat="1" applyFont="1" applyFill="1" applyAlignment="1" applyProtection="1">
      <alignment horizontal="center" vertical="center" wrapText="1"/>
      <protection locked="0"/>
    </xf>
    <xf numFmtId="176" fontId="20" fillId="17" borderId="3" xfId="2" applyNumberFormat="1" applyFont="1" applyFill="1" applyBorder="1" applyAlignment="1" applyProtection="1">
      <alignment horizontal="center" vertical="center" wrapText="1"/>
    </xf>
    <xf numFmtId="181" fontId="32" fillId="17" borderId="3" xfId="2" applyNumberFormat="1" applyFont="1" applyFill="1" applyBorder="1" applyAlignment="1" applyProtection="1">
      <alignment horizontal="center" vertical="center" wrapText="1"/>
      <protection locked="0"/>
    </xf>
    <xf numFmtId="180" fontId="32" fillId="17" borderId="3" xfId="2" applyNumberFormat="1" applyFont="1" applyFill="1" applyBorder="1" applyAlignment="1" applyProtection="1">
      <alignment horizontal="center" vertical="center" wrapText="1"/>
      <protection locked="0"/>
    </xf>
    <xf numFmtId="10" fontId="32" fillId="17" borderId="4" xfId="2" applyNumberFormat="1" applyFont="1" applyFill="1" applyBorder="1" applyAlignment="1" applyProtection="1">
      <alignment horizontal="center" vertical="center" wrapText="1"/>
      <protection locked="0"/>
    </xf>
    <xf numFmtId="181" fontId="32" fillId="17" borderId="4" xfId="2" applyNumberFormat="1" applyFont="1" applyFill="1" applyBorder="1" applyAlignment="1" applyProtection="1">
      <alignment horizontal="center" vertical="center" wrapText="1"/>
      <protection locked="0"/>
    </xf>
    <xf numFmtId="10" fontId="32" fillId="17" borderId="4" xfId="2" applyNumberFormat="1" applyFont="1" applyFill="1" applyBorder="1" applyAlignment="1" applyProtection="1">
      <alignment horizontal="left" vertical="center" wrapText="1"/>
      <protection locked="0"/>
    </xf>
    <xf numFmtId="10" fontId="32" fillId="0" borderId="4" xfId="2" applyNumberFormat="1" applyFont="1" applyFill="1" applyBorder="1" applyAlignment="1" applyProtection="1">
      <alignment horizontal="left" vertical="center" wrapText="1"/>
      <protection locked="0"/>
    </xf>
    <xf numFmtId="176" fontId="20" fillId="7" borderId="3" xfId="2" applyNumberFormat="1" applyFont="1" applyFill="1" applyBorder="1" applyAlignment="1" applyProtection="1">
      <alignment horizontal="center" vertical="center" wrapText="1"/>
    </xf>
    <xf numFmtId="181" fontId="33" fillId="7" borderId="3" xfId="2" applyNumberFormat="1" applyFont="1" applyFill="1" applyBorder="1" applyAlignment="1" applyProtection="1">
      <alignment horizontal="center" vertical="center" wrapText="1"/>
    </xf>
    <xf numFmtId="10" fontId="20" fillId="7" borderId="4" xfId="2" applyNumberFormat="1" applyFont="1" applyFill="1" applyBorder="1" applyAlignment="1" applyProtection="1">
      <alignment horizontal="center" vertical="center" wrapText="1"/>
      <protection locked="0"/>
    </xf>
    <xf numFmtId="180" fontId="33" fillId="7" borderId="3" xfId="2" applyNumberFormat="1" applyFont="1" applyFill="1" applyBorder="1" applyAlignment="1" applyProtection="1">
      <alignment horizontal="center" vertical="center" wrapText="1"/>
    </xf>
    <xf numFmtId="10" fontId="32" fillId="7" borderId="4" xfId="2" applyNumberFormat="1" applyFont="1" applyFill="1" applyBorder="1" applyAlignment="1" applyProtection="1">
      <alignment horizontal="center" vertical="center" wrapText="1"/>
      <protection locked="0"/>
    </xf>
    <xf numFmtId="10" fontId="33" fillId="7" borderId="3" xfId="0" applyNumberFormat="1" applyFont="1" applyFill="1" applyBorder="1" applyAlignment="1">
      <alignment horizontal="center" vertical="center"/>
    </xf>
    <xf numFmtId="183" fontId="15" fillId="0" borderId="3" xfId="22" applyNumberFormat="1" applyFont="1" applyFill="1" applyBorder="1" applyAlignment="1">
      <alignment horizontal="center" vertical="center" wrapText="1" readingOrder="1"/>
    </xf>
    <xf numFmtId="180" fontId="31" fillId="0" borderId="3" xfId="0" applyNumberFormat="1" applyFont="1" applyFill="1" applyBorder="1" applyAlignment="1">
      <alignment horizontal="center" vertical="center"/>
    </xf>
    <xf numFmtId="176" fontId="31" fillId="17" borderId="3" xfId="2" applyNumberFormat="1" applyFont="1" applyFill="1" applyBorder="1" applyAlignment="1" applyProtection="1">
      <alignment horizontal="left" vertical="center" wrapText="1"/>
      <protection locked="0"/>
    </xf>
    <xf numFmtId="181" fontId="20" fillId="7" borderId="4" xfId="2" applyNumberFormat="1" applyFont="1" applyFill="1" applyBorder="1" applyAlignment="1" applyProtection="1">
      <alignment horizontal="center" vertical="center" wrapText="1"/>
      <protection locked="0"/>
    </xf>
    <xf numFmtId="181" fontId="31" fillId="0" borderId="3" xfId="2" applyNumberFormat="1" applyFont="1" applyFill="1" applyBorder="1" applyAlignment="1" applyProtection="1">
      <alignment horizontal="center" vertical="center" wrapText="1"/>
    </xf>
    <xf numFmtId="176" fontId="31" fillId="0" borderId="3" xfId="2" applyNumberFormat="1" applyFont="1" applyFill="1" applyBorder="1" applyAlignment="1" applyProtection="1">
      <alignment horizontal="center" vertical="center" wrapText="1"/>
      <protection locked="0"/>
    </xf>
    <xf numFmtId="176" fontId="31" fillId="0" borderId="0" xfId="2" applyNumberFormat="1" applyFont="1" applyFill="1" applyAlignment="1" applyProtection="1">
      <alignment horizontal="center" vertical="center" wrapText="1"/>
      <protection locked="0"/>
    </xf>
    <xf numFmtId="181" fontId="31" fillId="17" borderId="3" xfId="6" applyNumberFormat="1" applyFont="1" applyFill="1" applyBorder="1" applyAlignment="1" applyProtection="1">
      <alignment horizontal="center" vertical="center"/>
    </xf>
    <xf numFmtId="181" fontId="32" fillId="17" borderId="3" xfId="6" applyNumberFormat="1" applyFont="1" applyFill="1" applyBorder="1" applyAlignment="1" applyProtection="1">
      <alignment horizontal="center" vertical="center" wrapText="1"/>
      <protection locked="0"/>
    </xf>
    <xf numFmtId="180" fontId="32" fillId="17" borderId="3" xfId="6" applyNumberFormat="1" applyFont="1" applyFill="1" applyBorder="1" applyAlignment="1" applyProtection="1">
      <alignment horizontal="center" vertical="center" wrapText="1"/>
      <protection locked="0"/>
    </xf>
    <xf numFmtId="10" fontId="32" fillId="17" borderId="4" xfId="6" applyNumberFormat="1" applyFont="1" applyFill="1" applyBorder="1" applyAlignment="1" applyProtection="1">
      <alignment horizontal="center" vertical="center" wrapText="1"/>
      <protection locked="0"/>
    </xf>
    <xf numFmtId="176" fontId="31" fillId="17" borderId="3" xfId="6" applyNumberFormat="1" applyFont="1" applyFill="1" applyBorder="1" applyAlignment="1" applyProtection="1">
      <alignment horizontal="center" vertical="center" wrapText="1"/>
      <protection locked="0"/>
    </xf>
    <xf numFmtId="176" fontId="31" fillId="17" borderId="0" xfId="6" applyNumberFormat="1" applyFont="1" applyFill="1" applyAlignment="1" applyProtection="1">
      <alignment horizontal="center" vertical="center" wrapText="1"/>
      <protection locked="0"/>
    </xf>
    <xf numFmtId="181" fontId="20" fillId="7" borderId="3" xfId="2" applyNumberFormat="1" applyFont="1" applyFill="1" applyBorder="1" applyAlignment="1" applyProtection="1">
      <alignment horizontal="center" vertical="center" wrapText="1"/>
      <protection locked="0"/>
    </xf>
    <xf numFmtId="181" fontId="32" fillId="7" borderId="3" xfId="2" applyNumberFormat="1" applyFont="1" applyFill="1" applyBorder="1" applyAlignment="1" applyProtection="1">
      <alignment horizontal="center" vertical="center" wrapText="1"/>
    </xf>
    <xf numFmtId="10" fontId="32" fillId="7" borderId="3" xfId="2" applyNumberFormat="1" applyFont="1" applyFill="1" applyBorder="1" applyAlignment="1" applyProtection="1">
      <alignment horizontal="center" vertical="center" wrapText="1"/>
    </xf>
    <xf numFmtId="181" fontId="31" fillId="7" borderId="3" xfId="2" applyNumberFormat="1" applyFont="1" applyFill="1" applyBorder="1" applyAlignment="1" applyProtection="1">
      <alignment horizontal="center" vertical="center"/>
    </xf>
    <xf numFmtId="10" fontId="31" fillId="7" borderId="3" xfId="2" applyNumberFormat="1" applyFont="1" applyFill="1" applyBorder="1" applyAlignment="1" applyProtection="1">
      <alignment horizontal="center" vertical="center"/>
    </xf>
    <xf numFmtId="181" fontId="32" fillId="7" borderId="3" xfId="2" applyNumberFormat="1" applyFont="1" applyFill="1" applyBorder="1" applyAlignment="1" applyProtection="1">
      <alignment horizontal="center" vertical="center"/>
      <protection locked="0"/>
    </xf>
    <xf numFmtId="180" fontId="32" fillId="7" borderId="3" xfId="2" applyNumberFormat="1" applyFont="1" applyFill="1" applyBorder="1" applyAlignment="1" applyProtection="1">
      <alignment horizontal="center" vertical="center"/>
      <protection locked="0"/>
    </xf>
    <xf numFmtId="10" fontId="32" fillId="7" borderId="3" xfId="2" applyNumberFormat="1" applyFont="1" applyFill="1" applyBorder="1" applyAlignment="1" applyProtection="1">
      <alignment horizontal="center" vertical="center"/>
      <protection locked="0"/>
    </xf>
    <xf numFmtId="180" fontId="32" fillId="0" borderId="3" xfId="2" applyNumberFormat="1" applyFont="1" applyFill="1" applyBorder="1" applyAlignment="1" applyProtection="1">
      <alignment horizontal="center" vertical="center"/>
      <protection locked="0"/>
    </xf>
    <xf numFmtId="10" fontId="32" fillId="7" borderId="4" xfId="2" applyNumberFormat="1" applyFont="1" applyFill="1" applyBorder="1" applyAlignment="1" applyProtection="1">
      <alignment horizontal="center" vertical="center"/>
      <protection locked="0"/>
    </xf>
    <xf numFmtId="10" fontId="32" fillId="7" borderId="3" xfId="2" applyNumberFormat="1" applyFont="1" applyFill="1" applyBorder="1" applyAlignment="1" applyProtection="1">
      <alignment horizontal="center" vertical="center" wrapText="1"/>
      <protection locked="0"/>
    </xf>
    <xf numFmtId="180" fontId="20" fillId="7" borderId="3" xfId="2" applyNumberFormat="1" applyFont="1" applyFill="1" applyBorder="1" applyAlignment="1" applyProtection="1">
      <alignment horizontal="center" vertical="center" wrapText="1"/>
      <protection locked="0"/>
    </xf>
    <xf numFmtId="180" fontId="33" fillId="7" borderId="4" xfId="2" applyNumberFormat="1" applyFont="1" applyFill="1" applyBorder="1" applyAlignment="1" applyProtection="1">
      <alignment horizontal="center" vertical="center"/>
      <protection locked="0"/>
    </xf>
    <xf numFmtId="176" fontId="33" fillId="17" borderId="3" xfId="2" applyNumberFormat="1" applyFont="1" applyFill="1" applyBorder="1" applyAlignment="1" applyProtection="1">
      <alignment horizontal="center" vertical="center" wrapText="1"/>
    </xf>
    <xf numFmtId="181" fontId="32" fillId="0" borderId="3" xfId="2" applyNumberFormat="1" applyFont="1" applyFill="1" applyBorder="1" applyAlignment="1" applyProtection="1">
      <alignment horizontal="center" vertical="center" wrapText="1"/>
    </xf>
    <xf numFmtId="10" fontId="32" fillId="0" borderId="3" xfId="2" applyNumberFormat="1" applyFont="1" applyFill="1" applyBorder="1" applyAlignment="1" applyProtection="1">
      <alignment horizontal="center" vertical="center" wrapText="1"/>
    </xf>
    <xf numFmtId="181" fontId="31" fillId="0" borderId="3" xfId="2" applyNumberFormat="1" applyFont="1" applyFill="1" applyBorder="1" applyAlignment="1" applyProtection="1">
      <alignment horizontal="center" vertical="center"/>
    </xf>
    <xf numFmtId="10" fontId="31" fillId="0" borderId="3" xfId="2" applyNumberFormat="1" applyFont="1" applyFill="1" applyBorder="1" applyAlignment="1" applyProtection="1">
      <alignment horizontal="center" vertical="center"/>
    </xf>
    <xf numFmtId="181" fontId="32" fillId="0" borderId="3" xfId="2" applyNumberFormat="1" applyFont="1" applyFill="1" applyBorder="1" applyAlignment="1" applyProtection="1">
      <alignment horizontal="center" vertical="center"/>
      <protection locked="0"/>
    </xf>
    <xf numFmtId="10" fontId="32" fillId="0" borderId="3" xfId="2" applyNumberFormat="1" applyFont="1" applyFill="1" applyBorder="1" applyAlignment="1" applyProtection="1">
      <alignment horizontal="center" vertical="center"/>
      <protection locked="0"/>
    </xf>
    <xf numFmtId="10" fontId="32" fillId="0" borderId="4" xfId="2" applyNumberFormat="1" applyFont="1" applyFill="1" applyBorder="1" applyAlignment="1" applyProtection="1">
      <alignment horizontal="center" vertical="center"/>
      <protection locked="0"/>
    </xf>
    <xf numFmtId="10" fontId="32" fillId="0" borderId="3" xfId="2" applyNumberFormat="1" applyFont="1" applyFill="1" applyBorder="1" applyAlignment="1" applyProtection="1">
      <alignment horizontal="center" vertical="center" wrapText="1"/>
      <protection locked="0"/>
    </xf>
    <xf numFmtId="181" fontId="33" fillId="5" borderId="3" xfId="2" applyNumberFormat="1" applyFont="1" applyFill="1" applyBorder="1" applyAlignment="1" applyProtection="1">
      <alignment horizontal="center" vertical="center" wrapText="1"/>
    </xf>
    <xf numFmtId="180" fontId="33" fillId="18" borderId="3" xfId="2" applyNumberFormat="1" applyFont="1" applyFill="1" applyBorder="1" applyAlignment="1" applyProtection="1">
      <alignment horizontal="center" vertical="center" wrapText="1"/>
    </xf>
    <xf numFmtId="10" fontId="33" fillId="19" borderId="3" xfId="2" applyNumberFormat="1" applyFont="1" applyFill="1" applyBorder="1" applyAlignment="1" applyProtection="1">
      <alignment horizontal="center" vertical="center" wrapText="1"/>
    </xf>
    <xf numFmtId="10" fontId="33" fillId="7" borderId="3" xfId="2" applyNumberFormat="1" applyFont="1" applyFill="1" applyBorder="1" applyAlignment="1" applyProtection="1">
      <alignment horizontal="center" vertical="center"/>
      <protection locked="0"/>
    </xf>
    <xf numFmtId="10" fontId="33" fillId="19" borderId="4" xfId="2" applyNumberFormat="1" applyFont="1" applyFill="1" applyBorder="1" applyAlignment="1" applyProtection="1">
      <alignment horizontal="center" vertical="center"/>
      <protection locked="0"/>
    </xf>
    <xf numFmtId="180" fontId="32" fillId="17" borderId="4" xfId="2" applyNumberFormat="1" applyFont="1" applyFill="1" applyBorder="1" applyAlignment="1" applyProtection="1">
      <alignment horizontal="center" vertical="center"/>
      <protection locked="0"/>
    </xf>
    <xf numFmtId="10" fontId="33" fillId="7" borderId="3" xfId="2" applyNumberFormat="1" applyFont="1" applyFill="1" applyBorder="1" applyAlignment="1" applyProtection="1">
      <alignment horizontal="center" vertical="center"/>
    </xf>
    <xf numFmtId="180" fontId="33" fillId="20" borderId="3" xfId="2" applyNumberFormat="1" applyFont="1" applyFill="1" applyBorder="1" applyAlignment="1" applyProtection="1">
      <alignment horizontal="center" vertical="center" wrapText="1"/>
    </xf>
    <xf numFmtId="10" fontId="33" fillId="19" borderId="4" xfId="2" applyNumberFormat="1" applyFont="1" applyFill="1" applyBorder="1" applyAlignment="1" applyProtection="1">
      <alignment horizontal="center" vertical="center" wrapText="1"/>
      <protection locked="0"/>
    </xf>
    <xf numFmtId="176" fontId="33" fillId="3" borderId="3" xfId="2" applyNumberFormat="1" applyFont="1" applyFill="1" applyBorder="1" applyAlignment="1" applyProtection="1">
      <alignment horizontal="center" vertical="center" wrapText="1"/>
    </xf>
    <xf numFmtId="181" fontId="33" fillId="3" borderId="3" xfId="2" applyNumberFormat="1" applyFont="1" applyFill="1" applyBorder="1" applyAlignment="1" applyProtection="1">
      <alignment horizontal="center" vertical="center" wrapText="1"/>
    </xf>
    <xf numFmtId="10" fontId="33" fillId="3" borderId="3" xfId="2" applyNumberFormat="1" applyFont="1" applyFill="1" applyBorder="1" applyAlignment="1" applyProtection="1">
      <alignment horizontal="center" vertical="center" wrapText="1"/>
    </xf>
    <xf numFmtId="10" fontId="33" fillId="3" borderId="3" xfId="2" applyNumberFormat="1" applyFont="1" applyFill="1" applyBorder="1" applyAlignment="1" applyProtection="1">
      <alignment horizontal="center" vertical="center"/>
    </xf>
    <xf numFmtId="10" fontId="33" fillId="3" borderId="3" xfId="2" applyNumberFormat="1" applyFont="1" applyFill="1" applyBorder="1" applyAlignment="1" applyProtection="1">
      <alignment horizontal="center" vertical="center"/>
      <protection locked="0"/>
    </xf>
    <xf numFmtId="10" fontId="33" fillId="3" borderId="4" xfId="2" applyNumberFormat="1" applyFont="1" applyFill="1" applyBorder="1" applyAlignment="1" applyProtection="1">
      <alignment horizontal="center" vertical="center" wrapText="1"/>
      <protection locked="0"/>
    </xf>
    <xf numFmtId="10" fontId="33" fillId="3" borderId="3" xfId="0" applyNumberFormat="1" applyFont="1" applyFill="1" applyBorder="1" applyAlignment="1">
      <alignment horizontal="center" vertical="center"/>
    </xf>
    <xf numFmtId="176" fontId="33" fillId="3" borderId="3" xfId="2" applyNumberFormat="1" applyFont="1" applyFill="1" applyBorder="1" applyAlignment="1" applyProtection="1">
      <alignment horizontal="center" vertical="center" wrapText="1"/>
      <protection locked="0"/>
    </xf>
    <xf numFmtId="176" fontId="33" fillId="3" borderId="0" xfId="2" applyNumberFormat="1" applyFont="1" applyFill="1" applyAlignment="1" applyProtection="1">
      <alignment horizontal="center" vertical="center" wrapText="1"/>
      <protection locked="0"/>
    </xf>
    <xf numFmtId="176" fontId="33" fillId="17" borderId="0" xfId="2" applyNumberFormat="1" applyFont="1" applyFill="1" applyAlignment="1" applyProtection="1">
      <alignment horizontal="center" vertical="center" wrapText="1"/>
      <protection locked="0"/>
    </xf>
    <xf numFmtId="10" fontId="31" fillId="17" borderId="0" xfId="2" applyNumberFormat="1" applyFont="1" applyFill="1" applyAlignment="1" applyProtection="1">
      <alignment horizontal="center" vertical="center" wrapText="1"/>
      <protection locked="0"/>
    </xf>
    <xf numFmtId="184" fontId="31" fillId="17" borderId="0" xfId="2" applyNumberFormat="1" applyFont="1" applyFill="1" applyAlignment="1" applyProtection="1">
      <alignment horizontal="center" vertical="center" wrapText="1"/>
      <protection locked="0"/>
    </xf>
    <xf numFmtId="176" fontId="25" fillId="7" borderId="3" xfId="2" applyNumberFormat="1" applyFont="1" applyFill="1" applyBorder="1" applyAlignment="1" applyProtection="1">
      <alignment horizontal="center" vertical="center" wrapText="1"/>
    </xf>
    <xf numFmtId="176" fontId="25" fillId="7" borderId="0" xfId="2" applyNumberFormat="1" applyFont="1" applyFill="1" applyAlignment="1" applyProtection="1">
      <alignment horizontal="center" vertical="center" wrapText="1"/>
      <protection locked="0"/>
    </xf>
    <xf numFmtId="10" fontId="25" fillId="7" borderId="3" xfId="2" applyNumberFormat="1" applyFont="1" applyFill="1" applyBorder="1" applyAlignment="1" applyProtection="1">
      <alignment horizontal="center" vertical="center" wrapText="1"/>
    </xf>
    <xf numFmtId="176" fontId="25" fillId="7" borderId="3" xfId="2" applyNumberFormat="1" applyFont="1" applyFill="1" applyBorder="1" applyAlignment="1" applyProtection="1">
      <alignment horizontal="center" vertical="center" wrapText="1"/>
      <protection locked="0"/>
    </xf>
    <xf numFmtId="10" fontId="25" fillId="7" borderId="3" xfId="2" applyNumberFormat="1" applyFont="1" applyFill="1" applyBorder="1" applyAlignment="1" applyProtection="1">
      <alignment horizontal="center" vertical="center" wrapText="1"/>
      <protection locked="0"/>
    </xf>
    <xf numFmtId="176" fontId="38" fillId="0" borderId="3" xfId="2" applyNumberFormat="1" applyFont="1" applyFill="1" applyBorder="1" applyAlignment="1" applyProtection="1">
      <alignment horizontal="center" vertical="center" wrapText="1"/>
    </xf>
    <xf numFmtId="181" fontId="35" fillId="17" borderId="3" xfId="2" applyNumberFormat="1" applyFont="1" applyFill="1" applyBorder="1" applyAlignment="1" applyProtection="1">
      <alignment horizontal="center" vertical="center" wrapText="1"/>
    </xf>
    <xf numFmtId="10" fontId="35" fillId="17" borderId="3" xfId="2" applyNumberFormat="1" applyFont="1" applyFill="1" applyBorder="1" applyAlignment="1" applyProtection="1">
      <alignment horizontal="center" vertical="center" wrapText="1"/>
    </xf>
    <xf numFmtId="181" fontId="35" fillId="17" borderId="3" xfId="2" applyNumberFormat="1" applyFont="1" applyFill="1" applyBorder="1" applyAlignment="1" applyProtection="1">
      <alignment horizontal="center" vertical="center"/>
    </xf>
    <xf numFmtId="10" fontId="35" fillId="17" borderId="3" xfId="24" applyNumberFormat="1" applyFont="1" applyFill="1" applyBorder="1" applyAlignment="1" applyProtection="1">
      <alignment horizontal="center" vertical="center" wrapText="1"/>
    </xf>
    <xf numFmtId="180" fontId="39" fillId="0" borderId="3" xfId="2" applyNumberFormat="1" applyFont="1" applyFill="1" applyBorder="1" applyAlignment="1" applyProtection="1">
      <alignment horizontal="center" vertical="center"/>
      <protection locked="0"/>
    </xf>
    <xf numFmtId="180" fontId="39" fillId="0" borderId="3" xfId="2" applyNumberFormat="1" applyFont="1" applyFill="1" applyBorder="1" applyAlignment="1" applyProtection="1">
      <alignment horizontal="center" vertical="center" wrapText="1"/>
      <protection locked="0"/>
    </xf>
    <xf numFmtId="180" fontId="35" fillId="0" borderId="3" xfId="0" applyNumberFormat="1" applyFont="1" applyBorder="1" applyAlignment="1">
      <alignment horizontal="center" vertical="center"/>
    </xf>
    <xf numFmtId="176" fontId="35" fillId="17" borderId="3" xfId="2" applyNumberFormat="1" applyFont="1" applyFill="1" applyBorder="1" applyAlignment="1" applyProtection="1">
      <alignment horizontal="center" vertical="center" wrapText="1"/>
      <protection locked="0"/>
    </xf>
    <xf numFmtId="176" fontId="35" fillId="17" borderId="0" xfId="2" applyNumberFormat="1" applyFont="1" applyFill="1" applyAlignment="1" applyProtection="1">
      <alignment horizontal="center" vertical="center" wrapText="1"/>
      <protection locked="0"/>
    </xf>
    <xf numFmtId="176" fontId="38" fillId="17" borderId="3" xfId="2" applyNumberFormat="1" applyFont="1" applyFill="1" applyBorder="1" applyAlignment="1" applyProtection="1">
      <alignment horizontal="center" vertical="center" wrapText="1"/>
    </xf>
    <xf numFmtId="180" fontId="39" fillId="17" borderId="3" xfId="2" applyNumberFormat="1" applyFont="1" applyFill="1" applyBorder="1" applyAlignment="1" applyProtection="1">
      <alignment horizontal="center" vertical="center"/>
      <protection locked="0"/>
    </xf>
    <xf numFmtId="180" fontId="39" fillId="17" borderId="3" xfId="2" applyNumberFormat="1" applyFont="1" applyFill="1" applyBorder="1" applyAlignment="1" applyProtection="1">
      <alignment horizontal="center" vertical="center" wrapText="1"/>
      <protection locked="0"/>
    </xf>
    <xf numFmtId="181" fontId="25" fillId="7" borderId="3" xfId="2" applyNumberFormat="1" applyFont="1" applyFill="1" applyBorder="1" applyAlignment="1" applyProtection="1">
      <alignment horizontal="center" vertical="center" wrapText="1"/>
    </xf>
    <xf numFmtId="10" fontId="25" fillId="7" borderId="3" xfId="24" applyNumberFormat="1" applyFont="1" applyFill="1" applyBorder="1" applyAlignment="1" applyProtection="1">
      <alignment horizontal="center" vertical="center" wrapText="1"/>
    </xf>
    <xf numFmtId="180" fontId="25" fillId="7" borderId="3" xfId="2" applyNumberFormat="1" applyFont="1" applyFill="1" applyBorder="1" applyAlignment="1" applyProtection="1">
      <alignment horizontal="center" vertical="center" wrapText="1"/>
    </xf>
    <xf numFmtId="180" fontId="39" fillId="0" borderId="3" xfId="22" applyNumberFormat="1" applyFont="1" applyFill="1" applyBorder="1" applyAlignment="1">
      <alignment vertical="center" wrapText="1" readingOrder="1"/>
    </xf>
    <xf numFmtId="180" fontId="35" fillId="0" borderId="3" xfId="0" applyNumberFormat="1" applyFont="1" applyFill="1" applyBorder="1" applyAlignment="1">
      <alignment horizontal="center" vertical="center"/>
    </xf>
    <xf numFmtId="176" fontId="35" fillId="17" borderId="3" xfId="2" applyNumberFormat="1" applyFont="1" applyFill="1" applyBorder="1" applyAlignment="1" applyProtection="1">
      <alignment horizontal="left" vertical="center" wrapText="1"/>
      <protection locked="0"/>
    </xf>
    <xf numFmtId="181" fontId="35" fillId="0" borderId="3" xfId="2" applyNumberFormat="1" applyFont="1" applyFill="1" applyBorder="1" applyAlignment="1" applyProtection="1">
      <alignment horizontal="center" vertical="center" wrapText="1"/>
    </xf>
    <xf numFmtId="181" fontId="35" fillId="0" borderId="3" xfId="2" applyNumberFormat="1" applyFont="1" applyFill="1" applyBorder="1" applyAlignment="1" applyProtection="1">
      <alignment horizontal="center" vertical="center"/>
    </xf>
    <xf numFmtId="176" fontId="35" fillId="0" borderId="3" xfId="2" applyNumberFormat="1" applyFont="1" applyFill="1" applyBorder="1" applyAlignment="1" applyProtection="1">
      <alignment horizontal="center" vertical="center" wrapText="1"/>
      <protection locked="0"/>
    </xf>
    <xf numFmtId="176" fontId="35" fillId="0" borderId="0" xfId="2" applyNumberFormat="1" applyFont="1" applyFill="1" applyAlignment="1" applyProtection="1">
      <alignment horizontal="center" vertical="center" wrapText="1"/>
      <protection locked="0"/>
    </xf>
    <xf numFmtId="181" fontId="35" fillId="17" borderId="3" xfId="6" applyNumberFormat="1" applyFont="1" applyFill="1" applyBorder="1" applyAlignment="1" applyProtection="1">
      <alignment horizontal="center" vertical="center"/>
    </xf>
    <xf numFmtId="180" fontId="39" fillId="17" borderId="3" xfId="6" applyNumberFormat="1" applyFont="1" applyFill="1" applyBorder="1" applyAlignment="1" applyProtection="1">
      <alignment horizontal="center" vertical="center"/>
      <protection locked="0"/>
    </xf>
    <xf numFmtId="180" fontId="39" fillId="17" borderId="3" xfId="6" applyNumberFormat="1" applyFont="1" applyFill="1" applyBorder="1" applyAlignment="1" applyProtection="1">
      <alignment horizontal="center" vertical="center" wrapText="1"/>
      <protection locked="0"/>
    </xf>
    <xf numFmtId="176" fontId="35" fillId="17" borderId="3" xfId="6" applyNumberFormat="1" applyFont="1" applyFill="1" applyBorder="1" applyAlignment="1" applyProtection="1">
      <alignment horizontal="center" vertical="center" wrapText="1"/>
      <protection locked="0"/>
    </xf>
    <xf numFmtId="176" fontId="35" fillId="17" borderId="0" xfId="6" applyNumberFormat="1" applyFont="1" applyFill="1" applyAlignment="1" applyProtection="1">
      <alignment horizontal="center" vertical="center" wrapText="1"/>
      <protection locked="0"/>
    </xf>
    <xf numFmtId="10" fontId="35" fillId="17" borderId="3" xfId="2" applyNumberFormat="1" applyFont="1" applyFill="1" applyBorder="1" applyAlignment="1" applyProtection="1">
      <alignment horizontal="center" vertical="center" wrapText="1"/>
      <protection locked="0"/>
    </xf>
    <xf numFmtId="181" fontId="39" fillId="0" borderId="3" xfId="2" applyNumberFormat="1" applyFont="1" applyFill="1" applyBorder="1" applyAlignment="1" applyProtection="1">
      <alignment horizontal="center" vertical="center" wrapText="1"/>
    </xf>
    <xf numFmtId="10" fontId="39" fillId="0" borderId="3" xfId="2" applyNumberFormat="1" applyFont="1" applyFill="1" applyBorder="1" applyAlignment="1" applyProtection="1">
      <alignment horizontal="center" vertical="center" wrapText="1"/>
    </xf>
    <xf numFmtId="10" fontId="35" fillId="0" borderId="3" xfId="2" applyNumberFormat="1" applyFont="1" applyFill="1" applyBorder="1" applyAlignment="1" applyProtection="1">
      <alignment horizontal="center" vertical="center"/>
    </xf>
    <xf numFmtId="10" fontId="39" fillId="0" borderId="3" xfId="2" applyNumberFormat="1" applyFont="1" applyFill="1" applyBorder="1" applyAlignment="1" applyProtection="1">
      <alignment horizontal="center" vertical="center"/>
      <protection locked="0"/>
    </xf>
    <xf numFmtId="181" fontId="39" fillId="0" borderId="3" xfId="2" applyNumberFormat="1" applyFont="1" applyFill="1" applyBorder="1" applyAlignment="1" applyProtection="1">
      <alignment horizontal="center" vertical="center"/>
      <protection locked="0"/>
    </xf>
    <xf numFmtId="10" fontId="39" fillId="0" borderId="3" xfId="2" applyNumberFormat="1" applyFont="1" applyFill="1" applyBorder="1" applyAlignment="1" applyProtection="1">
      <alignment horizontal="center" vertical="center" wrapText="1"/>
      <protection locked="0"/>
    </xf>
    <xf numFmtId="176" fontId="25" fillId="0" borderId="3" xfId="2" applyNumberFormat="1" applyFont="1" applyFill="1" applyBorder="1" applyAlignment="1" applyProtection="1">
      <alignment horizontal="center" vertical="center" wrapText="1"/>
      <protection locked="0"/>
    </xf>
    <xf numFmtId="176" fontId="25" fillId="0" borderId="0" xfId="2" applyNumberFormat="1" applyFont="1" applyFill="1" applyAlignment="1" applyProtection="1">
      <alignment horizontal="center" vertical="center" wrapText="1"/>
      <protection locked="0"/>
    </xf>
    <xf numFmtId="181" fontId="25" fillId="7" borderId="3" xfId="2" applyNumberFormat="1" applyFont="1" applyFill="1" applyBorder="1" applyAlignment="1" applyProtection="1">
      <alignment horizontal="center" vertical="center"/>
    </xf>
    <xf numFmtId="180" fontId="25" fillId="7" borderId="3" xfId="2" applyNumberFormat="1" applyFont="1" applyFill="1" applyBorder="1" applyAlignment="1" applyProtection="1">
      <alignment horizontal="center" vertical="center"/>
      <protection locked="0"/>
    </xf>
    <xf numFmtId="176" fontId="25" fillId="17" borderId="3" xfId="2" applyNumberFormat="1" applyFont="1" applyFill="1" applyBorder="1" applyAlignment="1" applyProtection="1">
      <alignment horizontal="center" vertical="center" wrapText="1"/>
    </xf>
    <xf numFmtId="181" fontId="25" fillId="5" borderId="3" xfId="2" applyNumberFormat="1" applyFont="1" applyFill="1" applyBorder="1" applyAlignment="1" applyProtection="1">
      <alignment horizontal="center" vertical="center" wrapText="1"/>
    </xf>
    <xf numFmtId="180" fontId="25" fillId="20" borderId="3" xfId="2" applyNumberFormat="1" applyFont="1" applyFill="1" applyBorder="1" applyAlignment="1" applyProtection="1">
      <alignment horizontal="center" vertical="center" wrapText="1"/>
    </xf>
    <xf numFmtId="180" fontId="25" fillId="5" borderId="3" xfId="2" applyNumberFormat="1" applyFont="1" applyFill="1" applyBorder="1" applyAlignment="1" applyProtection="1">
      <alignment horizontal="center" vertical="center" wrapText="1"/>
    </xf>
    <xf numFmtId="10" fontId="25" fillId="19" borderId="3" xfId="2" applyNumberFormat="1" applyFont="1" applyFill="1" applyBorder="1" applyAlignment="1" applyProtection="1">
      <alignment horizontal="center" vertical="center" wrapText="1"/>
    </xf>
    <xf numFmtId="10" fontId="25" fillId="7" borderId="3" xfId="2" applyNumberFormat="1" applyFont="1" applyFill="1" applyBorder="1" applyAlignment="1" applyProtection="1">
      <alignment horizontal="center" vertical="center"/>
      <protection locked="0"/>
    </xf>
    <xf numFmtId="10" fontId="25" fillId="7" borderId="3" xfId="2" applyNumberFormat="1" applyFont="1" applyFill="1" applyBorder="1" applyAlignment="1" applyProtection="1">
      <alignment horizontal="center" vertical="center"/>
    </xf>
    <xf numFmtId="176" fontId="25" fillId="3" borderId="3" xfId="2" applyNumberFormat="1" applyFont="1" applyFill="1" applyBorder="1" applyAlignment="1" applyProtection="1">
      <alignment horizontal="center" vertical="center" wrapText="1"/>
    </xf>
    <xf numFmtId="181" fontId="25" fillId="3" borderId="3" xfId="2" applyNumberFormat="1" applyFont="1" applyFill="1" applyBorder="1" applyAlignment="1" applyProtection="1">
      <alignment horizontal="center" vertical="center" wrapText="1"/>
    </xf>
    <xf numFmtId="10" fontId="25" fillId="3" borderId="3" xfId="24" applyNumberFormat="1" applyFont="1" applyFill="1" applyBorder="1" applyAlignment="1" applyProtection="1">
      <alignment horizontal="center" vertical="center" wrapText="1"/>
    </xf>
    <xf numFmtId="180" fontId="25" fillId="3" borderId="3" xfId="2" applyNumberFormat="1" applyFont="1" applyFill="1" applyBorder="1" applyAlignment="1" applyProtection="1">
      <alignment horizontal="center" vertical="center" wrapText="1"/>
    </xf>
    <xf numFmtId="10" fontId="25" fillId="3" borderId="3" xfId="2" applyNumberFormat="1" applyFont="1" applyFill="1" applyBorder="1" applyAlignment="1" applyProtection="1">
      <alignment horizontal="center" vertical="center" wrapText="1"/>
    </xf>
    <xf numFmtId="176" fontId="25" fillId="3" borderId="3" xfId="2" applyNumberFormat="1" applyFont="1" applyFill="1" applyBorder="1" applyAlignment="1" applyProtection="1">
      <alignment horizontal="center" vertical="center" wrapText="1"/>
      <protection locked="0"/>
    </xf>
    <xf numFmtId="176" fontId="25" fillId="3" borderId="0" xfId="2" applyNumberFormat="1" applyFont="1" applyFill="1" applyAlignment="1" applyProtection="1">
      <alignment horizontal="center" vertical="center" wrapText="1"/>
      <protection locked="0"/>
    </xf>
    <xf numFmtId="176" fontId="25" fillId="17" borderId="0" xfId="2" applyNumberFormat="1" applyFont="1" applyFill="1" applyAlignment="1" applyProtection="1">
      <alignment horizontal="center" vertical="center" wrapText="1"/>
      <protection locked="0"/>
    </xf>
    <xf numFmtId="10" fontId="35" fillId="17" borderId="0" xfId="2" applyNumberFormat="1" applyFont="1" applyFill="1" applyAlignment="1" applyProtection="1">
      <alignment horizontal="center" vertical="center" wrapText="1"/>
      <protection locked="0"/>
    </xf>
    <xf numFmtId="0" fontId="33" fillId="3" borderId="0" xfId="0" applyFont="1" applyFill="1"/>
    <xf numFmtId="0" fontId="31" fillId="0" borderId="3" xfId="0" applyFont="1" applyBorder="1"/>
    <xf numFmtId="0" fontId="31" fillId="0" borderId="0" xfId="0" applyFont="1"/>
    <xf numFmtId="180" fontId="33" fillId="7" borderId="3" xfId="0" applyNumberFormat="1" applyFont="1" applyFill="1" applyBorder="1" applyAlignment="1">
      <alignment horizontal="center" vertical="center"/>
    </xf>
    <xf numFmtId="0" fontId="33" fillId="7" borderId="3" xfId="0" applyFont="1" applyFill="1" applyBorder="1"/>
    <xf numFmtId="0" fontId="33" fillId="0" borderId="0" xfId="0" applyFont="1"/>
    <xf numFmtId="183" fontId="32" fillId="0" borderId="3" xfId="22" applyNumberFormat="1" applyFont="1" applyFill="1" applyBorder="1" applyAlignment="1">
      <alignment vertical="center" wrapText="1" readingOrder="1"/>
    </xf>
    <xf numFmtId="180" fontId="33" fillId="7" borderId="3" xfId="2" applyNumberFormat="1" applyFont="1" applyFill="1" applyBorder="1" applyAlignment="1" applyProtection="1">
      <alignment horizontal="center" vertical="center"/>
      <protection locked="0"/>
    </xf>
    <xf numFmtId="180" fontId="33" fillId="5" borderId="3" xfId="0" applyNumberFormat="1" applyFont="1" applyFill="1" applyBorder="1" applyAlignment="1">
      <alignment horizontal="center" vertical="center"/>
    </xf>
    <xf numFmtId="10" fontId="33" fillId="19" borderId="3" xfId="0" applyNumberFormat="1" applyFont="1" applyFill="1" applyBorder="1" applyAlignment="1">
      <alignment horizontal="center" vertical="center"/>
    </xf>
    <xf numFmtId="180" fontId="33" fillId="3" borderId="3" xfId="0" applyNumberFormat="1" applyFont="1" applyFill="1" applyBorder="1" applyAlignment="1">
      <alignment horizontal="center" vertical="center"/>
    </xf>
    <xf numFmtId="0" fontId="33" fillId="3" borderId="3" xfId="0" applyFont="1" applyFill="1" applyBorder="1"/>
    <xf numFmtId="180" fontId="31" fillId="0" borderId="0" xfId="0" applyNumberFormat="1" applyFont="1"/>
    <xf numFmtId="176" fontId="38" fillId="7" borderId="3" xfId="2" applyNumberFormat="1" applyFont="1" applyFill="1" applyBorder="1" applyAlignment="1" applyProtection="1">
      <alignment horizontal="center" vertical="center" wrapText="1"/>
    </xf>
    <xf numFmtId="10" fontId="38" fillId="7" borderId="3" xfId="2" applyNumberFormat="1" applyFont="1" applyFill="1" applyBorder="1" applyAlignment="1" applyProtection="1">
      <alignment horizontal="center" vertical="center" wrapText="1"/>
    </xf>
    <xf numFmtId="176" fontId="38" fillId="7" borderId="3" xfId="2" applyNumberFormat="1" applyFont="1" applyFill="1" applyBorder="1" applyAlignment="1" applyProtection="1">
      <alignment horizontal="center" vertical="center" wrapText="1"/>
      <protection locked="0"/>
    </xf>
    <xf numFmtId="10" fontId="38" fillId="7" borderId="3" xfId="2" applyNumberFormat="1" applyFont="1" applyFill="1" applyBorder="1" applyAlignment="1" applyProtection="1">
      <alignment horizontal="center" vertical="center" wrapText="1"/>
      <protection locked="0"/>
    </xf>
    <xf numFmtId="176" fontId="35" fillId="0" borderId="3" xfId="2" applyNumberFormat="1" applyFont="1" applyFill="1" applyBorder="1" applyAlignment="1" applyProtection="1">
      <alignment horizontal="center" vertical="center" wrapText="1"/>
    </xf>
    <xf numFmtId="10" fontId="35" fillId="0" borderId="3" xfId="2" applyNumberFormat="1" applyFont="1" applyFill="1" applyBorder="1" applyAlignment="1" applyProtection="1">
      <alignment horizontal="center" vertical="center" wrapText="1"/>
    </xf>
    <xf numFmtId="176" fontId="35" fillId="0" borderId="3" xfId="2" applyNumberFormat="1" applyFont="1" applyFill="1" applyBorder="1" applyAlignment="1" applyProtection="1">
      <alignment horizontal="center" vertical="center"/>
    </xf>
    <xf numFmtId="176" fontId="39" fillId="0" borderId="3" xfId="2" applyNumberFormat="1" applyFont="1" applyFill="1" applyBorder="1" applyAlignment="1" applyProtection="1">
      <alignment horizontal="center" vertical="center"/>
      <protection locked="0"/>
    </xf>
    <xf numFmtId="10" fontId="39" fillId="0" borderId="3" xfId="2" applyNumberFormat="1" applyFont="1" applyFill="1" applyBorder="1" applyAlignment="1" applyProtection="1">
      <alignment horizontal="left" vertical="center" wrapText="1"/>
      <protection locked="0"/>
    </xf>
    <xf numFmtId="176" fontId="35" fillId="17" borderId="3" xfId="2" applyNumberFormat="1" applyFont="1" applyFill="1" applyBorder="1" applyAlignment="1" applyProtection="1">
      <alignment horizontal="center" vertical="center" wrapText="1"/>
    </xf>
    <xf numFmtId="176" fontId="35" fillId="17" borderId="3" xfId="2" applyNumberFormat="1" applyFont="1" applyFill="1" applyBorder="1" applyAlignment="1" applyProtection="1">
      <alignment horizontal="center" vertical="center"/>
    </xf>
    <xf numFmtId="10" fontId="35" fillId="17" borderId="3" xfId="2" applyNumberFormat="1" applyFont="1" applyFill="1" applyBorder="1" applyAlignment="1" applyProtection="1">
      <alignment horizontal="center" vertical="center"/>
    </xf>
    <xf numFmtId="176" fontId="39" fillId="17" borderId="3" xfId="2" applyNumberFormat="1" applyFont="1" applyFill="1" applyBorder="1" applyAlignment="1" applyProtection="1">
      <alignment horizontal="center" vertical="center"/>
      <protection locked="0"/>
    </xf>
    <xf numFmtId="10" fontId="39" fillId="17" borderId="3" xfId="2" applyNumberFormat="1" applyFont="1" applyFill="1" applyBorder="1" applyAlignment="1" applyProtection="1">
      <alignment horizontal="center" vertical="center"/>
      <protection locked="0"/>
    </xf>
    <xf numFmtId="10" fontId="39" fillId="17" borderId="3" xfId="2" applyNumberFormat="1" applyFont="1" applyFill="1" applyBorder="1" applyAlignment="1" applyProtection="1">
      <alignment horizontal="left" vertical="center" wrapText="1"/>
      <protection locked="0"/>
    </xf>
    <xf numFmtId="176" fontId="25" fillId="7" borderId="3" xfId="2" applyNumberFormat="1" applyFont="1" applyFill="1" applyBorder="1" applyAlignment="1" applyProtection="1">
      <alignment horizontal="center" vertical="center"/>
    </xf>
    <xf numFmtId="10" fontId="25" fillId="7" borderId="3" xfId="2" applyNumberFormat="1" applyFont="1" applyFill="1" applyBorder="1" applyAlignment="1" applyProtection="1">
      <alignment horizontal="left" vertical="center" wrapText="1"/>
      <protection locked="0"/>
    </xf>
    <xf numFmtId="176" fontId="25" fillId="7" borderId="3" xfId="2" applyNumberFormat="1" applyFont="1" applyFill="1" applyBorder="1" applyAlignment="1" applyProtection="1">
      <alignment horizontal="center" vertical="center"/>
      <protection locked="0"/>
    </xf>
    <xf numFmtId="176" fontId="39" fillId="7" borderId="3" xfId="2" applyNumberFormat="1" applyFont="1" applyFill="1" applyBorder="1" applyAlignment="1" applyProtection="1">
      <alignment horizontal="center" vertical="center" wrapText="1"/>
    </xf>
    <xf numFmtId="10" fontId="39" fillId="7" borderId="3" xfId="2" applyNumberFormat="1" applyFont="1" applyFill="1" applyBorder="1" applyAlignment="1" applyProtection="1">
      <alignment horizontal="center" vertical="center" wrapText="1"/>
    </xf>
    <xf numFmtId="176" fontId="35" fillId="7" borderId="3" xfId="2" applyNumberFormat="1" applyFont="1" applyFill="1" applyBorder="1" applyAlignment="1" applyProtection="1">
      <alignment horizontal="center" vertical="center"/>
    </xf>
    <xf numFmtId="10" fontId="35" fillId="7" borderId="3" xfId="2" applyNumberFormat="1" applyFont="1" applyFill="1" applyBorder="1" applyAlignment="1" applyProtection="1">
      <alignment horizontal="center" vertical="center"/>
    </xf>
    <xf numFmtId="176" fontId="39" fillId="7" borderId="3" xfId="2" applyNumberFormat="1" applyFont="1" applyFill="1" applyBorder="1" applyAlignment="1" applyProtection="1">
      <alignment horizontal="center" vertical="center"/>
      <protection locked="0"/>
    </xf>
    <xf numFmtId="10" fontId="39" fillId="7" borderId="3" xfId="2" applyNumberFormat="1" applyFont="1" applyFill="1" applyBorder="1" applyAlignment="1" applyProtection="1">
      <alignment horizontal="center" vertical="center"/>
      <protection locked="0"/>
    </xf>
    <xf numFmtId="10" fontId="39" fillId="7" borderId="3" xfId="2" applyNumberFormat="1" applyFont="1" applyFill="1" applyBorder="1" applyAlignment="1" applyProtection="1">
      <alignment horizontal="left" vertical="center" wrapText="1"/>
      <protection locked="0"/>
    </xf>
    <xf numFmtId="176" fontId="39" fillId="0" borderId="3" xfId="2" applyNumberFormat="1" applyFont="1" applyFill="1" applyBorder="1" applyAlignment="1" applyProtection="1">
      <alignment horizontal="center" vertical="center" wrapText="1"/>
    </xf>
    <xf numFmtId="10" fontId="25" fillId="3" borderId="3" xfId="2" applyNumberFormat="1" applyFont="1" applyFill="1" applyBorder="1" applyAlignment="1" applyProtection="1">
      <alignment horizontal="center" vertical="center"/>
    </xf>
    <xf numFmtId="10" fontId="25" fillId="3" borderId="3" xfId="2" applyNumberFormat="1" applyFont="1" applyFill="1" applyBorder="1" applyAlignment="1" applyProtection="1">
      <alignment horizontal="left" vertical="center" wrapText="1"/>
      <protection locked="0"/>
    </xf>
    <xf numFmtId="176" fontId="25" fillId="17" borderId="0" xfId="2" applyNumberFormat="1" applyFont="1" applyFill="1" applyAlignment="1">
      <alignment horizontal="center" vertical="center" wrapText="1"/>
    </xf>
    <xf numFmtId="176" fontId="38" fillId="0" borderId="3" xfId="2" applyNumberFormat="1" applyFont="1" applyFill="1" applyBorder="1" applyAlignment="1">
      <alignment horizontal="center" vertical="center" wrapText="1"/>
    </xf>
    <xf numFmtId="180" fontId="41" fillId="21" borderId="10" xfId="0" applyNumberFormat="1" applyFont="1" applyFill="1" applyBorder="1" applyAlignment="1">
      <alignment horizontal="center" vertical="center" wrapText="1"/>
    </xf>
    <xf numFmtId="180" fontId="41" fillId="21" borderId="12" xfId="0" applyNumberFormat="1" applyFont="1" applyFill="1" applyBorder="1" applyAlignment="1">
      <alignment horizontal="center" vertical="center" wrapText="1"/>
    </xf>
    <xf numFmtId="9" fontId="41" fillId="22" borderId="10" xfId="1" applyFont="1" applyFill="1" applyBorder="1" applyAlignment="1">
      <alignment horizontal="center" vertical="center" wrapText="1"/>
    </xf>
    <xf numFmtId="9" fontId="39" fillId="0" borderId="4" xfId="1" applyFont="1" applyFill="1" applyBorder="1" applyAlignment="1">
      <alignment horizontal="center" vertical="center" wrapText="1"/>
    </xf>
    <xf numFmtId="10" fontId="41" fillId="0" borderId="13" xfId="0" applyNumberFormat="1" applyFont="1" applyBorder="1" applyAlignment="1">
      <alignment horizontal="left" vertical="center" wrapText="1"/>
    </xf>
    <xf numFmtId="176" fontId="35" fillId="17" borderId="3" xfId="2" applyNumberFormat="1" applyFont="1" applyFill="1" applyBorder="1" applyAlignment="1">
      <alignment horizontal="center" vertical="center" wrapText="1"/>
    </xf>
    <xf numFmtId="176" fontId="35" fillId="17" borderId="0" xfId="2" applyNumberFormat="1" applyFont="1" applyFill="1" applyAlignment="1">
      <alignment horizontal="center" vertical="center" wrapText="1"/>
    </xf>
    <xf numFmtId="180" fontId="35" fillId="0" borderId="3" xfId="2" applyNumberFormat="1" applyFont="1" applyFill="1" applyBorder="1" applyAlignment="1">
      <alignment horizontal="center" vertical="center" wrapText="1"/>
    </xf>
    <xf numFmtId="10" fontId="39" fillId="0" borderId="4" xfId="2" applyNumberFormat="1" applyFont="1" applyFill="1" applyBorder="1" applyAlignment="1">
      <alignment horizontal="left" vertical="center" wrapText="1"/>
    </xf>
    <xf numFmtId="176" fontId="35" fillId="0" borderId="3" xfId="2" applyNumberFormat="1" applyFont="1" applyFill="1" applyBorder="1" applyAlignment="1">
      <alignment horizontal="left" vertical="center" wrapText="1"/>
    </xf>
    <xf numFmtId="176" fontId="35" fillId="0" borderId="0" xfId="2" applyNumberFormat="1" applyFont="1" applyFill="1" applyAlignment="1">
      <alignment horizontal="center" vertical="center" wrapText="1"/>
    </xf>
    <xf numFmtId="180" fontId="35" fillId="17" borderId="3" xfId="2" applyNumberFormat="1" applyFont="1" applyFill="1" applyBorder="1" applyAlignment="1">
      <alignment horizontal="center" vertical="center" wrapText="1"/>
    </xf>
    <xf numFmtId="176" fontId="35" fillId="17" borderId="3" xfId="2" applyNumberFormat="1" applyFont="1" applyFill="1" applyBorder="1" applyAlignment="1">
      <alignment horizontal="left" vertical="center" wrapText="1"/>
    </xf>
    <xf numFmtId="176" fontId="38" fillId="14" borderId="3" xfId="2" applyNumberFormat="1" applyFont="1" applyFill="1" applyBorder="1" applyAlignment="1">
      <alignment horizontal="center" vertical="center" wrapText="1"/>
    </xf>
    <xf numFmtId="180" fontId="25" fillId="14" borderId="3" xfId="2" applyNumberFormat="1" applyFont="1" applyFill="1" applyBorder="1" applyAlignment="1">
      <alignment horizontal="center" vertical="center" wrapText="1"/>
    </xf>
    <xf numFmtId="9" fontId="25" fillId="14" borderId="3" xfId="1" applyFont="1" applyFill="1" applyBorder="1" applyAlignment="1">
      <alignment horizontal="center" vertical="center" wrapText="1"/>
    </xf>
    <xf numFmtId="180" fontId="38" fillId="14" borderId="3" xfId="2" applyNumberFormat="1" applyFont="1" applyFill="1" applyBorder="1" applyAlignment="1">
      <alignment horizontal="center" vertical="center" wrapText="1"/>
    </xf>
    <xf numFmtId="180" fontId="38" fillId="14" borderId="4" xfId="2" applyNumberFormat="1" applyFont="1" applyFill="1" applyBorder="1" applyAlignment="1">
      <alignment horizontal="center" vertical="center" wrapText="1"/>
    </xf>
    <xf numFmtId="9" fontId="38" fillId="14" borderId="4" xfId="1" applyFont="1" applyFill="1" applyBorder="1" applyAlignment="1">
      <alignment horizontal="center" vertical="center" wrapText="1"/>
    </xf>
    <xf numFmtId="10" fontId="38" fillId="14" borderId="4" xfId="2" applyNumberFormat="1" applyFont="1" applyFill="1" applyBorder="1" applyAlignment="1">
      <alignment horizontal="center" vertical="center" wrapText="1"/>
    </xf>
    <xf numFmtId="176" fontId="25" fillId="14" borderId="3" xfId="2" applyNumberFormat="1" applyFont="1" applyFill="1" applyBorder="1" applyAlignment="1">
      <alignment horizontal="center" vertical="center" wrapText="1"/>
    </xf>
    <xf numFmtId="176" fontId="25" fillId="14" borderId="0" xfId="2" applyNumberFormat="1" applyFont="1" applyFill="1" applyAlignment="1">
      <alignment horizontal="center" vertical="center" wrapText="1"/>
    </xf>
    <xf numFmtId="10" fontId="39" fillId="0" borderId="4" xfId="2" applyNumberFormat="1" applyFont="1" applyBorder="1" applyAlignment="1">
      <alignment horizontal="left" vertical="center" wrapText="1"/>
    </xf>
    <xf numFmtId="10" fontId="39" fillId="0" borderId="4" xfId="2" applyNumberFormat="1" applyFont="1" applyFill="1" applyBorder="1" applyAlignment="1">
      <alignment horizontal="center" vertical="center" wrapText="1"/>
    </xf>
    <xf numFmtId="176" fontId="35" fillId="0" borderId="3" xfId="2" applyNumberFormat="1" applyFont="1" applyFill="1" applyBorder="1" applyAlignment="1">
      <alignment horizontal="center" vertical="center" wrapText="1"/>
    </xf>
    <xf numFmtId="180" fontId="25" fillId="3" borderId="3" xfId="2" applyNumberFormat="1" applyFont="1" applyFill="1" applyBorder="1" applyAlignment="1">
      <alignment horizontal="center" vertical="center" wrapText="1"/>
    </xf>
    <xf numFmtId="180" fontId="38" fillId="3" borderId="3" xfId="2" applyNumberFormat="1" applyFont="1" applyFill="1" applyBorder="1" applyAlignment="1">
      <alignment horizontal="center" vertical="center" wrapText="1"/>
    </xf>
    <xf numFmtId="180" fontId="38" fillId="3" borderId="4" xfId="2" applyNumberFormat="1" applyFont="1" applyFill="1" applyBorder="1" applyAlignment="1">
      <alignment horizontal="center" vertical="center" wrapText="1"/>
    </xf>
    <xf numFmtId="10" fontId="38" fillId="3" borderId="4" xfId="2" applyNumberFormat="1" applyFont="1" applyFill="1" applyBorder="1" applyAlignment="1">
      <alignment horizontal="center" vertical="center" wrapText="1"/>
    </xf>
    <xf numFmtId="176" fontId="25" fillId="3" borderId="3" xfId="2" applyNumberFormat="1" applyFont="1" applyFill="1" applyBorder="1" applyAlignment="1">
      <alignment horizontal="center" vertical="center" wrapText="1"/>
    </xf>
    <xf numFmtId="180" fontId="35" fillId="0" borderId="3" xfId="6" applyNumberFormat="1" applyFont="1" applyBorder="1" applyAlignment="1">
      <alignment horizontal="center" vertical="center"/>
    </xf>
    <xf numFmtId="176" fontId="35" fillId="17" borderId="3" xfId="6" applyNumberFormat="1" applyFont="1" applyFill="1" applyBorder="1" applyAlignment="1">
      <alignment horizontal="center" vertical="center" wrapText="1"/>
    </xf>
    <xf numFmtId="176" fontId="35" fillId="17" borderId="0" xfId="6" applyNumberFormat="1" applyFont="1" applyFill="1" applyAlignment="1">
      <alignment horizontal="center" vertical="center" wrapText="1"/>
    </xf>
    <xf numFmtId="10" fontId="41" fillId="0" borderId="4" xfId="2" applyNumberFormat="1" applyFont="1" applyFill="1" applyBorder="1" applyAlignment="1">
      <alignment horizontal="left" vertical="center" wrapText="1"/>
    </xf>
    <xf numFmtId="176" fontId="41" fillId="17" borderId="3" xfId="2" applyNumberFormat="1" applyFont="1" applyFill="1" applyBorder="1" applyAlignment="1">
      <alignment horizontal="left" vertical="center" wrapText="1"/>
    </xf>
    <xf numFmtId="180" fontId="39" fillId="0" borderId="3" xfId="2" applyNumberFormat="1" applyFont="1" applyFill="1" applyBorder="1" applyAlignment="1">
      <alignment horizontal="center" vertical="center" wrapText="1"/>
    </xf>
    <xf numFmtId="9" fontId="39" fillId="0" borderId="3" xfId="1" applyFont="1" applyFill="1" applyBorder="1" applyAlignment="1">
      <alignment horizontal="center" vertical="center" wrapText="1"/>
    </xf>
    <xf numFmtId="180" fontId="35" fillId="0" borderId="3" xfId="2" applyNumberFormat="1" applyFont="1" applyFill="1" applyBorder="1" applyAlignment="1">
      <alignment horizontal="center" vertical="center"/>
    </xf>
    <xf numFmtId="180" fontId="39" fillId="0" borderId="3" xfId="2" applyNumberFormat="1" applyFont="1" applyFill="1" applyBorder="1" applyAlignment="1">
      <alignment horizontal="center" vertical="center"/>
    </xf>
    <xf numFmtId="10" fontId="39" fillId="0" borderId="3" xfId="2" applyNumberFormat="1" applyFont="1" applyFill="1" applyBorder="1" applyAlignment="1">
      <alignment horizontal="center" vertical="center" wrapText="1"/>
    </xf>
    <xf numFmtId="180" fontId="39" fillId="0" borderId="3" xfId="0" applyNumberFormat="1" applyFont="1" applyBorder="1" applyAlignment="1">
      <alignment horizontal="center" vertical="center"/>
    </xf>
    <xf numFmtId="10" fontId="39" fillId="0" borderId="3" xfId="2" applyNumberFormat="1" applyFont="1" applyFill="1" applyBorder="1" applyAlignment="1">
      <alignment horizontal="left" vertical="center" wrapText="1"/>
    </xf>
    <xf numFmtId="176" fontId="25" fillId="23" borderId="3" xfId="2" applyNumberFormat="1" applyFont="1" applyFill="1" applyBorder="1" applyAlignment="1">
      <alignment horizontal="center" vertical="center" wrapText="1"/>
    </xf>
    <xf numFmtId="180" fontId="25" fillId="23" borderId="3" xfId="2" applyNumberFormat="1" applyFont="1" applyFill="1" applyBorder="1" applyAlignment="1">
      <alignment horizontal="center" vertical="center" wrapText="1"/>
    </xf>
    <xf numFmtId="9" fontId="25" fillId="23" borderId="3" xfId="1" applyFont="1" applyFill="1" applyBorder="1" applyAlignment="1">
      <alignment horizontal="center" vertical="center" wrapText="1"/>
    </xf>
    <xf numFmtId="9" fontId="25" fillId="23" borderId="4" xfId="1" applyFont="1" applyFill="1" applyBorder="1" applyAlignment="1">
      <alignment horizontal="center" vertical="center" wrapText="1"/>
    </xf>
    <xf numFmtId="10" fontId="25" fillId="23" borderId="0" xfId="2" applyNumberFormat="1" applyFont="1" applyFill="1" applyAlignment="1">
      <alignment horizontal="center" vertical="center" wrapText="1"/>
    </xf>
    <xf numFmtId="176" fontId="25" fillId="23" borderId="0" xfId="2" applyNumberFormat="1" applyFont="1" applyFill="1" applyAlignment="1">
      <alignment horizontal="center" vertical="center" wrapText="1"/>
    </xf>
    <xf numFmtId="176" fontId="25" fillId="17" borderId="3" xfId="2" applyNumberFormat="1" applyFont="1" applyFill="1" applyBorder="1" applyAlignment="1">
      <alignment horizontal="center" vertical="center" wrapText="1"/>
    </xf>
    <xf numFmtId="10" fontId="25" fillId="23" borderId="4" xfId="2" applyNumberFormat="1" applyFont="1" applyFill="1" applyBorder="1" applyAlignment="1">
      <alignment horizontal="center" vertical="center" wrapText="1"/>
    </xf>
    <xf numFmtId="180" fontId="35" fillId="17" borderId="0" xfId="2" applyNumberFormat="1" applyFont="1" applyFill="1" applyAlignment="1">
      <alignment horizontal="center" vertical="center" wrapText="1"/>
    </xf>
    <xf numFmtId="9" fontId="35" fillId="17" borderId="0" xfId="1" applyFont="1" applyFill="1" applyAlignment="1">
      <alignment horizontal="center" vertical="center" wrapText="1"/>
    </xf>
    <xf numFmtId="10" fontId="35" fillId="17" borderId="0" xfId="2" applyNumberFormat="1" applyFont="1" applyFill="1" applyAlignment="1">
      <alignment horizontal="center" vertical="center" wrapText="1"/>
    </xf>
    <xf numFmtId="176" fontId="39" fillId="17" borderId="3" xfId="2" applyNumberFormat="1" applyFont="1" applyFill="1" applyBorder="1" applyAlignment="1">
      <alignment horizontal="left" vertical="center" wrapText="1"/>
    </xf>
    <xf numFmtId="0" fontId="20" fillId="7" borderId="3" xfId="0" applyFont="1" applyFill="1" applyBorder="1" applyAlignment="1">
      <alignment horizontal="center" vertical="center" wrapText="1" readingOrder="1"/>
    </xf>
    <xf numFmtId="10" fontId="20" fillId="7" borderId="3" xfId="0" applyNumberFormat="1" applyFont="1" applyFill="1" applyBorder="1" applyAlignment="1">
      <alignment horizontal="center" vertical="center" wrapText="1" readingOrder="1"/>
    </xf>
    <xf numFmtId="179" fontId="14" fillId="8" borderId="3" xfId="0" applyNumberFormat="1" applyFont="1" applyFill="1" applyBorder="1" applyAlignment="1">
      <alignment horizontal="center" vertical="center" wrapText="1"/>
    </xf>
    <xf numFmtId="176" fontId="25" fillId="7" borderId="3" xfId="2" applyNumberFormat="1" applyFont="1" applyFill="1" applyBorder="1" applyAlignment="1" applyProtection="1">
      <alignment horizontal="center" vertical="center"/>
    </xf>
    <xf numFmtId="176" fontId="25" fillId="7" borderId="3" xfId="2" applyNumberFormat="1" applyFont="1" applyFill="1" applyBorder="1" applyAlignment="1" applyProtection="1">
      <alignment horizontal="center" vertical="center" wrapText="1"/>
      <protection locked="0"/>
    </xf>
    <xf numFmtId="176" fontId="38" fillId="7" borderId="3" xfId="2" applyNumberFormat="1" applyFont="1" applyFill="1" applyBorder="1" applyAlignment="1" applyProtection="1">
      <alignment horizontal="center" vertical="center"/>
      <protection locked="0"/>
    </xf>
    <xf numFmtId="181" fontId="39" fillId="17" borderId="3" xfId="2" applyNumberFormat="1" applyFont="1" applyFill="1" applyBorder="1" applyAlignment="1" applyProtection="1">
      <alignment horizontal="center" vertical="center"/>
      <protection locked="0"/>
    </xf>
    <xf numFmtId="10" fontId="39" fillId="17" borderId="3" xfId="2" applyNumberFormat="1" applyFont="1" applyFill="1" applyBorder="1" applyAlignment="1" applyProtection="1">
      <alignment horizontal="center" vertical="center" wrapText="1"/>
      <protection locked="0"/>
    </xf>
    <xf numFmtId="10" fontId="39" fillId="17" borderId="3" xfId="6" applyNumberFormat="1" applyFont="1" applyFill="1" applyBorder="1" applyAlignment="1" applyProtection="1">
      <alignment horizontal="center" vertical="center"/>
      <protection locked="0"/>
    </xf>
    <xf numFmtId="10" fontId="39" fillId="3" borderId="3" xfId="2" applyNumberFormat="1" applyFont="1" applyFill="1" applyBorder="1" applyAlignment="1" applyProtection="1">
      <alignment horizontal="center" vertical="center"/>
      <protection locked="0"/>
    </xf>
    <xf numFmtId="181" fontId="25" fillId="7" borderId="3" xfId="2" applyNumberFormat="1" applyFont="1" applyFill="1" applyBorder="1" applyAlignment="1" applyProtection="1">
      <alignment horizontal="center" vertical="center"/>
      <protection locked="0"/>
    </xf>
    <xf numFmtId="10" fontId="25" fillId="19" borderId="3" xfId="2" applyNumberFormat="1" applyFont="1" applyFill="1" applyBorder="1" applyAlignment="1" applyProtection="1">
      <alignment horizontal="center" vertical="center"/>
      <protection locked="0"/>
    </xf>
    <xf numFmtId="10" fontId="25" fillId="19" borderId="3" xfId="2" applyNumberFormat="1" applyFont="1" applyFill="1" applyBorder="1" applyAlignment="1" applyProtection="1">
      <alignment horizontal="center" vertical="center" wrapText="1"/>
      <protection locked="0"/>
    </xf>
    <xf numFmtId="10" fontId="25" fillId="3" borderId="3" xfId="2" applyNumberFormat="1" applyFont="1" applyFill="1" applyBorder="1" applyAlignment="1" applyProtection="1">
      <alignment horizontal="center" vertical="center"/>
      <protection locked="0"/>
    </xf>
    <xf numFmtId="10" fontId="25" fillId="3" borderId="3" xfId="2" applyNumberFormat="1" applyFont="1" applyFill="1" applyBorder="1" applyAlignment="1" applyProtection="1">
      <alignment horizontal="center" vertical="center" wrapText="1"/>
      <protection locked="0"/>
    </xf>
    <xf numFmtId="176" fontId="35" fillId="0" borderId="3" xfId="2" applyNumberFormat="1" applyFont="1" applyFill="1" applyBorder="1" applyProtection="1"/>
    <xf numFmtId="177" fontId="14" fillId="17" borderId="3" xfId="2" applyNumberFormat="1" applyFont="1" applyFill="1" applyBorder="1" applyAlignment="1">
      <alignment horizontal="center" vertical="center" wrapText="1"/>
    </xf>
    <xf numFmtId="176" fontId="35" fillId="17" borderId="3" xfId="2" applyNumberFormat="1" applyFont="1" applyFill="1" applyBorder="1" applyProtection="1"/>
    <xf numFmtId="10" fontId="38" fillId="7" borderId="3" xfId="2" applyNumberFormat="1" applyFont="1" applyFill="1" applyBorder="1" applyAlignment="1" applyProtection="1">
      <alignment horizontal="center" vertical="center"/>
      <protection locked="0"/>
    </xf>
    <xf numFmtId="10" fontId="38" fillId="7" borderId="3" xfId="2" applyNumberFormat="1" applyFont="1" applyFill="1" applyBorder="1" applyAlignment="1" applyProtection="1">
      <alignment horizontal="left" vertical="center" wrapText="1"/>
      <protection locked="0"/>
    </xf>
    <xf numFmtId="176" fontId="25" fillId="3" borderId="3" xfId="2" applyNumberFormat="1" applyFont="1" applyFill="1" applyBorder="1" applyAlignment="1" applyProtection="1">
      <alignment horizontal="left" vertical="center" wrapText="1"/>
      <protection locked="0"/>
    </xf>
    <xf numFmtId="176" fontId="35" fillId="0" borderId="0" xfId="2" applyNumberFormat="1" applyFont="1" applyFill="1" applyProtection="1"/>
    <xf numFmtId="176" fontId="35" fillId="0" borderId="3" xfId="2" applyNumberFormat="1" applyFont="1" applyFill="1" applyBorder="1" applyAlignment="1" applyProtection="1">
      <alignment horizontal="left" vertical="center" wrapText="1"/>
      <protection locked="0"/>
    </xf>
    <xf numFmtId="176" fontId="35" fillId="17" borderId="3" xfId="6" applyNumberFormat="1" applyFont="1" applyFill="1" applyBorder="1" applyAlignment="1" applyProtection="1">
      <alignment horizontal="left" vertical="center" wrapText="1"/>
      <protection locked="0"/>
    </xf>
    <xf numFmtId="176" fontId="35" fillId="17" borderId="0" xfId="2" applyNumberFormat="1" applyFont="1" applyFill="1" applyProtection="1"/>
    <xf numFmtId="176" fontId="35" fillId="7" borderId="3" xfId="2" applyNumberFormat="1" applyFont="1" applyFill="1" applyBorder="1" applyAlignment="1" applyProtection="1">
      <alignment horizontal="center" vertical="center"/>
      <protection locked="0"/>
    </xf>
    <xf numFmtId="10" fontId="35" fillId="7" borderId="3" xfId="2" applyNumberFormat="1" applyFont="1" applyFill="1" applyBorder="1" applyAlignment="1" applyProtection="1">
      <alignment horizontal="center" vertical="center"/>
      <protection locked="0"/>
    </xf>
    <xf numFmtId="10" fontId="39" fillId="7" borderId="3" xfId="2" applyNumberFormat="1" applyFont="1" applyFill="1" applyBorder="1" applyAlignment="1" applyProtection="1">
      <alignment horizontal="left" vertical="center"/>
      <protection locked="0"/>
    </xf>
    <xf numFmtId="176" fontId="39" fillId="0" borderId="3" xfId="2" applyNumberFormat="1" applyFont="1" applyFill="1" applyBorder="1" applyAlignment="1" applyProtection="1">
      <alignment horizontal="left" vertical="center"/>
      <protection locked="0"/>
    </xf>
    <xf numFmtId="176" fontId="25" fillId="17" borderId="3" xfId="2" applyNumberFormat="1" applyFont="1" applyFill="1" applyBorder="1" applyAlignment="1" applyProtection="1">
      <alignment horizontal="left" vertical="center" wrapText="1"/>
      <protection locked="0"/>
    </xf>
    <xf numFmtId="176" fontId="35" fillId="0" borderId="3" xfId="2" applyNumberFormat="1" applyFont="1" applyFill="1" applyBorder="1" applyAlignment="1" applyProtection="1">
      <alignment horizontal="center" vertical="center"/>
      <protection locked="0"/>
    </xf>
    <xf numFmtId="10" fontId="35" fillId="0" borderId="3" xfId="2" applyNumberFormat="1" applyFont="1" applyFill="1" applyBorder="1" applyAlignment="1" applyProtection="1">
      <alignment horizontal="center" vertical="center"/>
      <protection locked="0"/>
    </xf>
    <xf numFmtId="10" fontId="39" fillId="0" borderId="3" xfId="2" applyNumberFormat="1" applyFont="1" applyFill="1" applyBorder="1" applyAlignment="1" applyProtection="1">
      <alignment horizontal="left" vertical="center"/>
      <protection locked="0"/>
    </xf>
    <xf numFmtId="10" fontId="25" fillId="7" borderId="3" xfId="2" applyNumberFormat="1" applyFont="1" applyFill="1" applyBorder="1" applyAlignment="1" applyProtection="1">
      <alignment horizontal="left" vertical="center"/>
      <protection locked="0"/>
    </xf>
    <xf numFmtId="176" fontId="25" fillId="16" borderId="3" xfId="2" applyNumberFormat="1" applyFont="1" applyFill="1" applyBorder="1" applyAlignment="1" applyProtection="1">
      <alignment horizontal="left" vertical="center"/>
      <protection locked="0"/>
    </xf>
    <xf numFmtId="176" fontId="25" fillId="16" borderId="3" xfId="2" applyNumberFormat="1" applyFont="1" applyFill="1" applyBorder="1" applyAlignment="1" applyProtection="1">
      <alignment horizontal="left" vertical="center" wrapText="1"/>
      <protection locked="0"/>
    </xf>
    <xf numFmtId="176" fontId="36" fillId="16" borderId="3" xfId="2" applyNumberFormat="1" applyFont="1" applyFill="1" applyBorder="1" applyAlignment="1" applyProtection="1">
      <alignment horizontal="left" vertical="center" wrapText="1"/>
      <protection locked="0"/>
    </xf>
    <xf numFmtId="176" fontId="25" fillId="5" borderId="3" xfId="2" applyNumberFormat="1" applyFont="1" applyFill="1" applyBorder="1" applyAlignment="1" applyProtection="1">
      <alignment horizontal="center" vertical="center" wrapText="1"/>
    </xf>
    <xf numFmtId="179" fontId="20" fillId="7" borderId="3" xfId="0" applyNumberFormat="1" applyFont="1" applyFill="1" applyBorder="1" applyAlignment="1">
      <alignment horizontal="center" vertical="center" wrapText="1"/>
    </xf>
    <xf numFmtId="179" fontId="19" fillId="19" borderId="3" xfId="0" applyNumberFormat="1" applyFont="1" applyFill="1" applyBorder="1" applyAlignment="1">
      <alignment horizontal="center" vertical="center"/>
    </xf>
    <xf numFmtId="0" fontId="31" fillId="0" borderId="0" xfId="2" applyFont="1" applyFill="1" applyAlignment="1">
      <alignment horizontal="center" vertical="center"/>
    </xf>
    <xf numFmtId="0" fontId="33" fillId="3" borderId="3" xfId="2" applyFont="1" applyFill="1" applyBorder="1" applyAlignment="1">
      <alignment vertical="center" wrapText="1"/>
    </xf>
    <xf numFmtId="0" fontId="32" fillId="0" borderId="3" xfId="2" applyFont="1" applyFill="1" applyBorder="1" applyAlignment="1">
      <alignment vertical="center" wrapText="1"/>
    </xf>
    <xf numFmtId="0" fontId="31" fillId="3" borderId="3" xfId="2" applyFont="1" applyFill="1" applyBorder="1" applyAlignment="1">
      <alignment vertical="center" wrapText="1"/>
    </xf>
    <xf numFmtId="0" fontId="20" fillId="15" borderId="3" xfId="2" applyFont="1" applyFill="1" applyBorder="1" applyAlignment="1">
      <alignment vertical="center" wrapText="1"/>
    </xf>
    <xf numFmtId="0" fontId="8" fillId="0" borderId="0" xfId="2" applyFont="1" applyFill="1" applyAlignment="1">
      <alignment vertical="center" wrapText="1"/>
    </xf>
    <xf numFmtId="179" fontId="17" fillId="0" borderId="3" xfId="0" applyNumberFormat="1" applyFont="1" applyBorder="1" applyAlignment="1">
      <alignment horizontal="center" vertical="center"/>
    </xf>
    <xf numFmtId="179" fontId="0" fillId="0" borderId="0" xfId="1" applyNumberFormat="1" applyFont="1" applyAlignment="1"/>
    <xf numFmtId="176" fontId="31" fillId="0" borderId="0" xfId="2" applyNumberFormat="1" applyFont="1" applyFill="1"/>
    <xf numFmtId="9" fontId="39" fillId="14" borderId="4" xfId="1" applyFont="1" applyFill="1" applyBorder="1" applyAlignment="1">
      <alignment horizontal="center" vertical="center" wrapText="1"/>
    </xf>
    <xf numFmtId="176" fontId="25" fillId="0" borderId="0" xfId="2" applyNumberFormat="1" applyFont="1" applyFill="1" applyAlignment="1">
      <alignment horizontal="center" vertical="center" wrapText="1"/>
    </xf>
    <xf numFmtId="9" fontId="40" fillId="16" borderId="3" xfId="1" applyFont="1" applyFill="1" applyBorder="1" applyAlignment="1">
      <alignment horizontal="center" vertical="center" wrapText="1"/>
    </xf>
    <xf numFmtId="180" fontId="40" fillId="16" borderId="3" xfId="2" applyNumberFormat="1" applyFont="1" applyFill="1" applyBorder="1" applyAlignment="1">
      <alignment horizontal="center" vertical="center" wrapText="1"/>
    </xf>
    <xf numFmtId="176" fontId="40" fillId="16" borderId="3" xfId="2" applyNumberFormat="1" applyFont="1" applyFill="1" applyBorder="1" applyAlignment="1">
      <alignment horizontal="center" vertical="center" wrapText="1"/>
    </xf>
    <xf numFmtId="176" fontId="37" fillId="5" borderId="3" xfId="2" applyNumberFormat="1" applyFont="1" applyFill="1" applyBorder="1" applyAlignment="1">
      <alignment horizontal="center" vertical="center" wrapText="1"/>
    </xf>
    <xf numFmtId="180" fontId="16" fillId="0" borderId="0" xfId="2" applyNumberFormat="1" applyFont="1" applyFill="1" applyAlignment="1">
      <alignment vertical="center"/>
    </xf>
    <xf numFmtId="176" fontId="16" fillId="0" borderId="0" xfId="2" applyNumberFormat="1" applyFont="1" applyFill="1" applyAlignment="1">
      <alignment vertical="center"/>
    </xf>
    <xf numFmtId="176" fontId="33" fillId="24" borderId="3" xfId="2" applyNumberFormat="1" applyFont="1" applyFill="1" applyBorder="1" applyAlignment="1">
      <alignment horizontal="center" vertical="center"/>
    </xf>
    <xf numFmtId="176" fontId="29" fillId="15" borderId="4" xfId="2" applyNumberFormat="1" applyFont="1" applyFill="1" applyBorder="1" applyAlignment="1">
      <alignment horizontal="center" vertical="center" wrapText="1"/>
    </xf>
    <xf numFmtId="176" fontId="33" fillId="0" borderId="0" xfId="2" applyNumberFormat="1" applyFont="1" applyFill="1"/>
    <xf numFmtId="0" fontId="16" fillId="0" borderId="3" xfId="0" applyFont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9" fillId="25" borderId="3" xfId="0" applyFont="1" applyFill="1" applyBorder="1" applyAlignment="1">
      <alignment horizontal="center" vertical="center"/>
    </xf>
    <xf numFmtId="0" fontId="19" fillId="20" borderId="3" xfId="0" applyFont="1" applyFill="1" applyBorder="1" applyAlignment="1">
      <alignment horizontal="center" vertical="center"/>
    </xf>
    <xf numFmtId="0" fontId="19" fillId="27" borderId="3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10" fontId="19" fillId="5" borderId="3" xfId="0" applyNumberFormat="1" applyFont="1" applyFill="1" applyBorder="1" applyAlignment="1">
      <alignment horizontal="center" vertical="center"/>
    </xf>
    <xf numFmtId="10" fontId="19" fillId="26" borderId="3" xfId="1" applyNumberFormat="1" applyFont="1" applyFill="1" applyBorder="1" applyAlignment="1">
      <alignment horizontal="center" vertical="center"/>
    </xf>
    <xf numFmtId="10" fontId="19" fillId="27" borderId="3" xfId="1" applyNumberFormat="1" applyFont="1" applyFill="1" applyBorder="1" applyAlignment="1">
      <alignment horizontal="center" vertical="center"/>
    </xf>
    <xf numFmtId="10" fontId="19" fillId="25" borderId="3" xfId="1" applyNumberFormat="1" applyFont="1" applyFill="1" applyBorder="1" applyAlignment="1">
      <alignment horizontal="center" vertical="center"/>
    </xf>
    <xf numFmtId="180" fontId="41" fillId="0" borderId="12" xfId="0" applyNumberFormat="1" applyFont="1" applyFill="1" applyBorder="1" applyAlignment="1">
      <alignment horizontal="center" vertical="center" wrapText="1"/>
    </xf>
    <xf numFmtId="181" fontId="32" fillId="28" borderId="4" xfId="2" applyNumberFormat="1" applyFont="1" applyFill="1" applyBorder="1" applyAlignment="1" applyProtection="1">
      <alignment horizontal="center" vertical="center" wrapText="1"/>
      <protection locked="0"/>
    </xf>
    <xf numFmtId="10" fontId="35" fillId="0" borderId="3" xfId="24" applyNumberFormat="1" applyFont="1" applyFill="1" applyBorder="1" applyAlignment="1" applyProtection="1">
      <alignment horizontal="center" vertical="center" wrapText="1"/>
    </xf>
    <xf numFmtId="10" fontId="31" fillId="0" borderId="3" xfId="0" applyNumberFormat="1" applyFont="1" applyFill="1" applyBorder="1" applyAlignment="1">
      <alignment horizontal="center" vertical="center"/>
    </xf>
    <xf numFmtId="180" fontId="39" fillId="0" borderId="3" xfId="25" applyNumberFormat="1" applyFont="1" applyFill="1" applyBorder="1" applyAlignment="1" applyProtection="1">
      <alignment horizontal="center" vertical="center" wrapText="1"/>
      <protection locked="0"/>
    </xf>
    <xf numFmtId="10" fontId="39" fillId="0" borderId="3" xfId="25" applyNumberFormat="1" applyFont="1" applyFill="1" applyBorder="1" applyAlignment="1" applyProtection="1">
      <alignment horizontal="center" vertical="center" wrapText="1"/>
      <protection locked="0"/>
    </xf>
    <xf numFmtId="0" fontId="28" fillId="0" borderId="3" xfId="0" applyFont="1" applyFill="1" applyBorder="1" applyAlignment="1">
      <alignment horizontal="left" vertical="center" wrapText="1" readingOrder="1"/>
    </xf>
    <xf numFmtId="0" fontId="27" fillId="0" borderId="3" xfId="0" applyFont="1" applyFill="1" applyBorder="1" applyAlignment="1">
      <alignment horizontal="center" vertical="center" wrapText="1" readingOrder="1"/>
    </xf>
    <xf numFmtId="0" fontId="19" fillId="0" borderId="3" xfId="0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right" vertical="center"/>
    </xf>
    <xf numFmtId="0" fontId="25" fillId="0" borderId="7" xfId="0" applyFont="1" applyFill="1" applyBorder="1" applyAlignment="1">
      <alignment horizontal="center" vertical="center"/>
    </xf>
    <xf numFmtId="0" fontId="25" fillId="0" borderId="8" xfId="0" applyFont="1" applyFill="1" applyBorder="1" applyAlignment="1">
      <alignment horizontal="center" vertical="center"/>
    </xf>
    <xf numFmtId="0" fontId="27" fillId="0" borderId="7" xfId="0" applyFont="1" applyFill="1" applyBorder="1" applyAlignment="1">
      <alignment horizontal="center" vertical="center" wrapText="1" readingOrder="1"/>
    </xf>
    <xf numFmtId="0" fontId="27" fillId="0" borderId="8" xfId="0" applyFont="1" applyFill="1" applyBorder="1" applyAlignment="1">
      <alignment horizontal="center" vertical="center" wrapText="1" readingOrder="1"/>
    </xf>
    <xf numFmtId="0" fontId="28" fillId="0" borderId="7" xfId="0" applyFont="1" applyFill="1" applyBorder="1" applyAlignment="1">
      <alignment horizontal="left" vertical="center" wrapText="1" readingOrder="1"/>
    </xf>
    <xf numFmtId="0" fontId="28" fillId="0" borderId="8" xfId="0" applyFont="1" applyFill="1" applyBorder="1" applyAlignment="1">
      <alignment horizontal="left" vertical="center" wrapText="1" readingOrder="1"/>
    </xf>
    <xf numFmtId="10" fontId="29" fillId="15" borderId="3" xfId="2" applyNumberFormat="1" applyFont="1" applyFill="1" applyBorder="1" applyAlignment="1">
      <alignment horizontal="center" vertical="center" wrapText="1"/>
    </xf>
    <xf numFmtId="0" fontId="29" fillId="15" borderId="4" xfId="2" applyFont="1" applyFill="1" applyBorder="1" applyAlignment="1">
      <alignment horizontal="center" vertical="center"/>
    </xf>
    <xf numFmtId="0" fontId="29" fillId="15" borderId="5" xfId="2" applyFont="1" applyFill="1" applyBorder="1" applyAlignment="1">
      <alignment horizontal="center" vertical="center"/>
    </xf>
    <xf numFmtId="0" fontId="29" fillId="15" borderId="6" xfId="2" applyFont="1" applyFill="1" applyBorder="1" applyAlignment="1">
      <alignment horizontal="center" vertical="center"/>
    </xf>
    <xf numFmtId="0" fontId="5" fillId="0" borderId="2" xfId="2" applyFont="1" applyFill="1" applyBorder="1" applyAlignment="1">
      <alignment horizontal="center" vertical="center" wrapText="1"/>
    </xf>
    <xf numFmtId="177" fontId="30" fillId="15" borderId="7" xfId="2" applyNumberFormat="1" applyFont="1" applyFill="1" applyBorder="1" applyAlignment="1" applyProtection="1">
      <alignment horizontal="center" vertical="center" wrapText="1"/>
      <protection locked="0"/>
    </xf>
    <xf numFmtId="177" fontId="30" fillId="15" borderId="8" xfId="2" applyNumberFormat="1" applyFont="1" applyFill="1" applyBorder="1" applyAlignment="1" applyProtection="1">
      <alignment horizontal="center" vertical="center" wrapText="1"/>
      <protection locked="0"/>
    </xf>
    <xf numFmtId="0" fontId="29" fillId="15" borderId="3" xfId="2" applyFont="1" applyFill="1" applyBorder="1" applyAlignment="1">
      <alignment horizontal="center" vertical="center"/>
    </xf>
    <xf numFmtId="0" fontId="35" fillId="0" borderId="7" xfId="23" applyFont="1" applyFill="1" applyBorder="1" applyAlignment="1">
      <alignment horizontal="left" vertical="center" wrapText="1"/>
    </xf>
    <xf numFmtId="0" fontId="35" fillId="0" borderId="9" xfId="23" applyFont="1" applyFill="1" applyBorder="1" applyAlignment="1">
      <alignment horizontal="left" vertical="center" wrapText="1"/>
    </xf>
    <xf numFmtId="0" fontId="35" fillId="0" borderId="8" xfId="23" applyFont="1" applyFill="1" applyBorder="1" applyAlignment="1">
      <alignment horizontal="left" vertical="center" wrapText="1"/>
    </xf>
    <xf numFmtId="0" fontId="5" fillId="0" borderId="0" xfId="2" applyFont="1" applyFill="1" applyBorder="1" applyAlignment="1">
      <alignment horizontal="center" vertical="center" wrapText="1"/>
    </xf>
    <xf numFmtId="0" fontId="34" fillId="15" borderId="3" xfId="2" applyFont="1" applyFill="1" applyBorder="1" applyAlignment="1">
      <alignment horizontal="center" vertical="center" wrapText="1"/>
    </xf>
    <xf numFmtId="0" fontId="34" fillId="15" borderId="5" xfId="2" applyFont="1" applyFill="1" applyBorder="1" applyAlignment="1">
      <alignment horizontal="center" vertical="center" wrapText="1"/>
    </xf>
    <xf numFmtId="0" fontId="34" fillId="15" borderId="6" xfId="2" applyFont="1" applyFill="1" applyBorder="1" applyAlignment="1">
      <alignment horizontal="center" vertical="center" wrapText="1"/>
    </xf>
    <xf numFmtId="10" fontId="34" fillId="15" borderId="4" xfId="2" applyNumberFormat="1" applyFont="1" applyFill="1" applyBorder="1" applyAlignment="1">
      <alignment horizontal="center" vertical="center"/>
    </xf>
    <xf numFmtId="10" fontId="34" fillId="15" borderId="5" xfId="2" applyNumberFormat="1" applyFont="1" applyFill="1" applyBorder="1" applyAlignment="1">
      <alignment horizontal="center" vertical="center"/>
    </xf>
    <xf numFmtId="10" fontId="34" fillId="15" borderId="6" xfId="2" applyNumberFormat="1" applyFont="1" applyFill="1" applyBorder="1" applyAlignment="1">
      <alignment horizontal="center" vertical="center"/>
    </xf>
    <xf numFmtId="179" fontId="34" fillId="15" borderId="3" xfId="2" applyNumberFormat="1" applyFont="1" applyFill="1" applyBorder="1" applyAlignment="1">
      <alignment horizontal="center" vertical="center" wrapText="1"/>
    </xf>
    <xf numFmtId="176" fontId="40" fillId="16" borderId="7" xfId="2" applyNumberFormat="1" applyFont="1" applyFill="1" applyBorder="1" applyAlignment="1" applyProtection="1">
      <alignment horizontal="center" vertical="center" wrapText="1"/>
      <protection locked="0"/>
    </xf>
    <xf numFmtId="176" fontId="40" fillId="16" borderId="8" xfId="2" applyNumberFormat="1" applyFont="1" applyFill="1" applyBorder="1" applyAlignment="1" applyProtection="1">
      <alignment horizontal="center" vertical="center" wrapText="1"/>
      <protection locked="0"/>
    </xf>
    <xf numFmtId="176" fontId="25" fillId="7" borderId="4" xfId="2" applyNumberFormat="1" applyFont="1" applyFill="1" applyBorder="1" applyAlignment="1" applyProtection="1">
      <alignment horizontal="center" vertical="center" wrapText="1"/>
    </xf>
    <xf numFmtId="176" fontId="25" fillId="7" borderId="5" xfId="2" applyNumberFormat="1" applyFont="1" applyFill="1" applyBorder="1" applyAlignment="1" applyProtection="1">
      <alignment horizontal="center" vertical="center" wrapText="1"/>
    </xf>
    <xf numFmtId="176" fontId="25" fillId="7" borderId="6" xfId="2" applyNumberFormat="1" applyFont="1" applyFill="1" applyBorder="1" applyAlignment="1" applyProtection="1">
      <alignment horizontal="center" vertical="center" wrapText="1"/>
    </xf>
    <xf numFmtId="176" fontId="25" fillId="7" borderId="3" xfId="2" applyNumberFormat="1" applyFont="1" applyFill="1" applyBorder="1" applyAlignment="1" applyProtection="1">
      <alignment horizontal="center" vertical="center"/>
    </xf>
    <xf numFmtId="176" fontId="25" fillId="7" borderId="3" xfId="2" applyNumberFormat="1" applyFont="1" applyFill="1" applyBorder="1" applyAlignment="1" applyProtection="1">
      <alignment horizontal="center" vertical="center"/>
      <protection locked="0"/>
    </xf>
    <xf numFmtId="176" fontId="25" fillId="7" borderId="7" xfId="2" applyNumberFormat="1" applyFont="1" applyFill="1" applyBorder="1" applyAlignment="1" applyProtection="1">
      <alignment horizontal="center" vertical="center"/>
      <protection locked="0"/>
    </xf>
    <xf numFmtId="176" fontId="25" fillId="7" borderId="8" xfId="2" applyNumberFormat="1" applyFont="1" applyFill="1" applyBorder="1" applyAlignment="1" applyProtection="1">
      <alignment horizontal="center" vertical="center"/>
      <protection locked="0"/>
    </xf>
    <xf numFmtId="176" fontId="25" fillId="7" borderId="7" xfId="2" applyNumberFormat="1" applyFont="1" applyFill="1" applyBorder="1" applyAlignment="1" applyProtection="1">
      <alignment horizontal="center" vertical="center" wrapText="1"/>
      <protection locked="0"/>
    </xf>
    <xf numFmtId="176" fontId="25" fillId="7" borderId="8" xfId="2" applyNumberFormat="1" applyFont="1" applyFill="1" applyBorder="1" applyAlignment="1" applyProtection="1">
      <alignment horizontal="center" vertical="center" wrapText="1"/>
      <protection locked="0"/>
    </xf>
    <xf numFmtId="177" fontId="25" fillId="7" borderId="7" xfId="2" applyNumberFormat="1" applyFont="1" applyFill="1" applyBorder="1" applyAlignment="1" applyProtection="1">
      <alignment horizontal="center" vertical="center" wrapText="1"/>
      <protection locked="0"/>
    </xf>
    <xf numFmtId="177" fontId="25" fillId="7" borderId="8" xfId="2" applyNumberFormat="1" applyFont="1" applyFill="1" applyBorder="1" applyAlignment="1" applyProtection="1">
      <alignment horizontal="center" vertical="center" wrapText="1"/>
      <protection locked="0"/>
    </xf>
    <xf numFmtId="177" fontId="33" fillId="7" borderId="7" xfId="2" applyNumberFormat="1" applyFont="1" applyFill="1" applyBorder="1" applyAlignment="1" applyProtection="1">
      <alignment horizontal="center" vertical="center" wrapText="1"/>
      <protection locked="0"/>
    </xf>
    <xf numFmtId="177" fontId="33" fillId="7" borderId="8" xfId="2" applyNumberFormat="1" applyFont="1" applyFill="1" applyBorder="1" applyAlignment="1" applyProtection="1">
      <alignment horizontal="center" vertical="center" wrapText="1"/>
      <protection locked="0"/>
    </xf>
    <xf numFmtId="176" fontId="33" fillId="7" borderId="7" xfId="2" applyNumberFormat="1" applyFont="1" applyFill="1" applyBorder="1" applyAlignment="1" applyProtection="1">
      <alignment horizontal="center" vertical="center" wrapText="1"/>
      <protection locked="0"/>
    </xf>
    <xf numFmtId="176" fontId="33" fillId="7" borderId="8" xfId="2" applyNumberFormat="1" applyFont="1" applyFill="1" applyBorder="1" applyAlignment="1" applyProtection="1">
      <alignment horizontal="center" vertical="center" wrapText="1"/>
      <protection locked="0"/>
    </xf>
    <xf numFmtId="176" fontId="33" fillId="7" borderId="4" xfId="2" applyNumberFormat="1" applyFont="1" applyFill="1" applyBorder="1" applyAlignment="1" applyProtection="1">
      <alignment horizontal="center" vertical="center" wrapText="1"/>
    </xf>
    <xf numFmtId="176" fontId="33" fillId="7" borderId="5" xfId="2" applyNumberFormat="1" applyFont="1" applyFill="1" applyBorder="1" applyAlignment="1" applyProtection="1">
      <alignment horizontal="center" vertical="center" wrapText="1"/>
    </xf>
    <xf numFmtId="176" fontId="33" fillId="7" borderId="6" xfId="2" applyNumberFormat="1" applyFont="1" applyFill="1" applyBorder="1" applyAlignment="1" applyProtection="1">
      <alignment horizontal="center" vertical="center" wrapText="1"/>
    </xf>
    <xf numFmtId="176" fontId="33" fillId="7" borderId="3" xfId="2" applyNumberFormat="1" applyFont="1" applyFill="1" applyBorder="1" applyAlignment="1" applyProtection="1">
      <alignment horizontal="center" vertical="center" wrapText="1"/>
    </xf>
    <xf numFmtId="176" fontId="33" fillId="7" borderId="4" xfId="2" applyNumberFormat="1" applyFont="1" applyFill="1" applyBorder="1" applyAlignment="1" applyProtection="1">
      <alignment horizontal="center" vertical="center" wrapText="1"/>
      <protection locked="0"/>
    </xf>
    <xf numFmtId="176" fontId="33" fillId="7" borderId="5" xfId="2" applyNumberFormat="1" applyFont="1" applyFill="1" applyBorder="1" applyAlignment="1" applyProtection="1">
      <alignment horizontal="center" vertical="center" wrapText="1"/>
      <protection locked="0"/>
    </xf>
    <xf numFmtId="176" fontId="33" fillId="7" borderId="3" xfId="2" applyNumberFormat="1" applyFont="1" applyFill="1" applyBorder="1" applyAlignment="1" applyProtection="1">
      <alignment horizontal="center" vertical="center" wrapText="1"/>
      <protection locked="0"/>
    </xf>
    <xf numFmtId="177" fontId="36" fillId="16" borderId="3" xfId="2" applyNumberFormat="1" applyFont="1" applyFill="1" applyBorder="1" applyAlignment="1" applyProtection="1">
      <alignment horizontal="center" vertical="center" wrapText="1"/>
      <protection locked="0"/>
    </xf>
    <xf numFmtId="176" fontId="36" fillId="16" borderId="7" xfId="2" applyNumberFormat="1" applyFont="1" applyFill="1" applyBorder="1" applyAlignment="1" applyProtection="1">
      <alignment horizontal="center" vertical="center" wrapText="1"/>
      <protection locked="0"/>
    </xf>
    <xf numFmtId="176" fontId="36" fillId="16" borderId="8" xfId="2" applyNumberFormat="1" applyFont="1" applyFill="1" applyBorder="1" applyAlignment="1" applyProtection="1">
      <alignment horizontal="center" vertical="center" wrapText="1"/>
      <protection locked="0"/>
    </xf>
    <xf numFmtId="176" fontId="25" fillId="7" borderId="3" xfId="2" applyNumberFormat="1" applyFont="1" applyFill="1" applyBorder="1" applyAlignment="1" applyProtection="1">
      <alignment horizontal="center" vertical="center" wrapText="1"/>
      <protection locked="0"/>
    </xf>
    <xf numFmtId="177" fontId="33" fillId="7" borderId="3" xfId="2" applyNumberFormat="1" applyFont="1" applyFill="1" applyBorder="1" applyAlignment="1" applyProtection="1">
      <alignment horizontal="center" vertical="center" wrapText="1"/>
      <protection locked="0"/>
    </xf>
    <xf numFmtId="176" fontId="33" fillId="7" borderId="3" xfId="2" applyNumberFormat="1" applyFont="1" applyFill="1" applyBorder="1" applyAlignment="1" applyProtection="1">
      <alignment horizontal="center" vertical="center"/>
    </xf>
    <xf numFmtId="176" fontId="33" fillId="7" borderId="3" xfId="2" applyNumberFormat="1" applyFont="1" applyFill="1" applyBorder="1" applyAlignment="1" applyProtection="1">
      <alignment horizontal="center" vertical="center"/>
      <protection locked="0"/>
    </xf>
    <xf numFmtId="176" fontId="38" fillId="7" borderId="4" xfId="2" applyNumberFormat="1" applyFont="1" applyFill="1" applyBorder="1" applyAlignment="1" applyProtection="1">
      <alignment horizontal="center" vertical="center" wrapText="1"/>
    </xf>
    <xf numFmtId="176" fontId="38" fillId="7" borderId="5" xfId="2" applyNumberFormat="1" applyFont="1" applyFill="1" applyBorder="1" applyAlignment="1" applyProtection="1">
      <alignment horizontal="center" vertical="center" wrapText="1"/>
    </xf>
    <xf numFmtId="176" fontId="38" fillId="7" borderId="6" xfId="2" applyNumberFormat="1" applyFont="1" applyFill="1" applyBorder="1" applyAlignment="1" applyProtection="1">
      <alignment horizontal="center" vertical="center" wrapText="1"/>
    </xf>
    <xf numFmtId="176" fontId="38" fillId="7" borderId="3" xfId="2" applyNumberFormat="1" applyFont="1" applyFill="1" applyBorder="1" applyAlignment="1" applyProtection="1">
      <alignment horizontal="center" vertical="center"/>
    </xf>
    <xf numFmtId="176" fontId="38" fillId="7" borderId="3" xfId="2" applyNumberFormat="1" applyFont="1" applyFill="1" applyBorder="1" applyAlignment="1" applyProtection="1">
      <alignment horizontal="center" vertical="center"/>
      <protection locked="0"/>
    </xf>
    <xf numFmtId="176" fontId="38" fillId="7" borderId="7" xfId="2" applyNumberFormat="1" applyFont="1" applyFill="1" applyBorder="1" applyAlignment="1" applyProtection="1">
      <alignment horizontal="center" vertical="center"/>
      <protection locked="0"/>
    </xf>
    <xf numFmtId="176" fontId="38" fillId="7" borderId="8" xfId="2" applyNumberFormat="1" applyFont="1" applyFill="1" applyBorder="1" applyAlignment="1" applyProtection="1">
      <alignment horizontal="center" vertical="center"/>
      <protection locked="0"/>
    </xf>
    <xf numFmtId="176" fontId="38" fillId="7" borderId="7" xfId="2" applyNumberFormat="1" applyFont="1" applyFill="1" applyBorder="1" applyAlignment="1" applyProtection="1">
      <alignment horizontal="center" vertical="center" wrapText="1"/>
      <protection locked="0"/>
    </xf>
    <xf numFmtId="176" fontId="38" fillId="7" borderId="8" xfId="2" applyNumberFormat="1" applyFont="1" applyFill="1" applyBorder="1" applyAlignment="1" applyProtection="1">
      <alignment horizontal="center" vertical="center" wrapText="1"/>
      <protection locked="0"/>
    </xf>
    <xf numFmtId="177" fontId="38" fillId="7" borderId="7" xfId="2" applyNumberFormat="1" applyFont="1" applyFill="1" applyBorder="1" applyAlignment="1" applyProtection="1">
      <alignment horizontal="center" vertical="center" wrapText="1"/>
      <protection locked="0"/>
    </xf>
    <xf numFmtId="177" fontId="38" fillId="7" borderId="8" xfId="2" applyNumberFormat="1" applyFont="1" applyFill="1" applyBorder="1" applyAlignment="1" applyProtection="1">
      <alignment horizontal="center" vertical="center" wrapText="1"/>
      <protection locked="0"/>
    </xf>
    <xf numFmtId="177" fontId="40" fillId="16" borderId="7" xfId="2" applyNumberFormat="1" applyFont="1" applyFill="1" applyBorder="1" applyAlignment="1" applyProtection="1">
      <alignment horizontal="center" vertical="center" wrapText="1"/>
      <protection locked="0"/>
    </xf>
    <xf numFmtId="177" fontId="40" fillId="16" borderId="8" xfId="2" applyNumberFormat="1" applyFont="1" applyFill="1" applyBorder="1" applyAlignment="1" applyProtection="1">
      <alignment horizontal="center" vertical="center" wrapText="1"/>
      <protection locked="0"/>
    </xf>
    <xf numFmtId="176" fontId="40" fillId="16" borderId="4" xfId="2" applyNumberFormat="1" applyFont="1" applyFill="1" applyBorder="1" applyAlignment="1">
      <alignment horizontal="center" vertical="center" wrapText="1"/>
    </xf>
    <xf numFmtId="176" fontId="40" fillId="16" borderId="5" xfId="2" applyNumberFormat="1" applyFont="1" applyFill="1" applyBorder="1" applyAlignment="1">
      <alignment horizontal="center" vertical="center" wrapText="1"/>
    </xf>
    <xf numFmtId="176" fontId="40" fillId="16" borderId="6" xfId="2" applyNumberFormat="1" applyFont="1" applyFill="1" applyBorder="1" applyAlignment="1">
      <alignment horizontal="center" vertical="center" wrapText="1"/>
    </xf>
    <xf numFmtId="176" fontId="40" fillId="16" borderId="3" xfId="2" applyNumberFormat="1" applyFont="1" applyFill="1" applyBorder="1" applyAlignment="1">
      <alignment horizontal="center" vertical="center" wrapText="1"/>
    </xf>
    <xf numFmtId="180" fontId="40" fillId="16" borderId="11" xfId="2" applyNumberFormat="1" applyFont="1" applyFill="1" applyBorder="1" applyAlignment="1">
      <alignment horizontal="center" vertical="center" wrapText="1"/>
    </xf>
    <xf numFmtId="180" fontId="40" fillId="16" borderId="2" xfId="2" applyNumberFormat="1" applyFont="1" applyFill="1" applyBorder="1" applyAlignment="1">
      <alignment horizontal="center" vertical="center" wrapText="1"/>
    </xf>
    <xf numFmtId="9" fontId="40" fillId="16" borderId="11" xfId="1" applyFont="1" applyFill="1" applyBorder="1" applyAlignment="1">
      <alignment horizontal="center" vertical="center" wrapText="1"/>
    </xf>
    <xf numFmtId="9" fontId="40" fillId="16" borderId="2" xfId="1" applyFont="1" applyFill="1" applyBorder="1" applyAlignment="1">
      <alignment horizontal="center" vertical="center" wrapText="1"/>
    </xf>
    <xf numFmtId="176" fontId="14" fillId="7" borderId="3" xfId="2" applyNumberFormat="1" applyFont="1" applyFill="1" applyBorder="1" applyAlignment="1">
      <alignment horizontal="center" vertical="center" wrapText="1"/>
    </xf>
    <xf numFmtId="176" fontId="14" fillId="3" borderId="3" xfId="2" applyNumberFormat="1" applyFont="1" applyFill="1" applyBorder="1" applyAlignment="1">
      <alignment horizontal="center" vertical="center" wrapText="1"/>
    </xf>
    <xf numFmtId="176" fontId="14" fillId="7" borderId="4" xfId="2" applyNumberFormat="1" applyFont="1" applyFill="1" applyBorder="1" applyAlignment="1">
      <alignment horizontal="center" vertical="center" wrapText="1"/>
    </xf>
    <xf numFmtId="176" fontId="14" fillId="7" borderId="6" xfId="2" applyNumberFormat="1" applyFont="1" applyFill="1" applyBorder="1" applyAlignment="1">
      <alignment horizontal="center" vertical="center" wrapText="1"/>
    </xf>
    <xf numFmtId="9" fontId="14" fillId="7" borderId="7" xfId="1" applyFont="1" applyFill="1" applyBorder="1" applyAlignment="1">
      <alignment horizontal="center" vertical="center" wrapText="1"/>
    </xf>
    <xf numFmtId="9" fontId="14" fillId="7" borderId="9" xfId="1" applyFont="1" applyFill="1" applyBorder="1" applyAlignment="1">
      <alignment horizontal="center" vertical="center" wrapText="1"/>
    </xf>
    <xf numFmtId="9" fontId="14" fillId="7" borderId="8" xfId="1" applyFont="1" applyFill="1" applyBorder="1" applyAlignment="1">
      <alignment horizontal="center" vertical="center" wrapText="1"/>
    </xf>
    <xf numFmtId="179" fontId="25" fillId="7" borderId="3" xfId="0" applyNumberFormat="1" applyFont="1" applyFill="1" applyBorder="1" applyAlignment="1">
      <alignment horizontal="center" vertical="center" wrapText="1"/>
    </xf>
    <xf numFmtId="179" fontId="25" fillId="7" borderId="3" xfId="0" applyNumberFormat="1" applyFont="1" applyFill="1" applyBorder="1" applyAlignment="1">
      <alignment horizontal="center" vertical="center"/>
    </xf>
    <xf numFmtId="179" fontId="14" fillId="7" borderId="3" xfId="0" applyNumberFormat="1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/>
    </xf>
    <xf numFmtId="176" fontId="14" fillId="8" borderId="4" xfId="2" applyNumberFormat="1" applyFont="1" applyFill="1" applyBorder="1" applyAlignment="1">
      <alignment horizontal="center" vertical="center" wrapText="1"/>
    </xf>
    <xf numFmtId="176" fontId="14" fillId="8" borderId="6" xfId="2" applyNumberFormat="1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176" fontId="14" fillId="8" borderId="4" xfId="2" applyNumberFormat="1" applyFont="1" applyFill="1" applyBorder="1" applyAlignment="1">
      <alignment horizontal="left" vertical="center" wrapText="1"/>
    </xf>
    <xf numFmtId="176" fontId="14" fillId="8" borderId="6" xfId="2" applyNumberFormat="1" applyFont="1" applyFill="1" applyBorder="1" applyAlignment="1">
      <alignment horizontal="left" vertical="center" wrapText="1"/>
    </xf>
    <xf numFmtId="179" fontId="14" fillId="8" borderId="3" xfId="0" applyNumberFormat="1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/>
    </xf>
    <xf numFmtId="9" fontId="14" fillId="8" borderId="7" xfId="1" applyFont="1" applyFill="1" applyBorder="1" applyAlignment="1">
      <alignment horizontal="center" vertical="center" wrapText="1"/>
    </xf>
    <xf numFmtId="9" fontId="14" fillId="8" borderId="8" xfId="1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0" fontId="19" fillId="7" borderId="8" xfId="0" applyFont="1" applyFill="1" applyBorder="1" applyAlignment="1">
      <alignment horizontal="center" vertical="center"/>
    </xf>
  </cellXfs>
  <cellStyles count="26">
    <cellStyle name="百分比" xfId="1" builtinId="5"/>
    <cellStyle name="百分比 2" xfId="4"/>
    <cellStyle name="常规" xfId="0" builtinId="0"/>
    <cellStyle name="常规 2" xfId="3"/>
    <cellStyle name="常规 2 2" xfId="5"/>
    <cellStyle name="常规 2 3" xfId="23"/>
    <cellStyle name="常规 3" xfId="2"/>
    <cellStyle name="常规 3 2" xfId="6"/>
    <cellStyle name="常规 4" xfId="7"/>
    <cellStyle name="常规 4 2" xfId="25"/>
    <cellStyle name="常规 45" xfId="8"/>
    <cellStyle name="常规 47" xfId="9"/>
    <cellStyle name="常规 5" xfId="10"/>
    <cellStyle name="常规 54" xfId="11"/>
    <cellStyle name="常规 55" xfId="12"/>
    <cellStyle name="常规 60" xfId="13"/>
    <cellStyle name="常规 69" xfId="14"/>
    <cellStyle name="常规 77" xfId="15"/>
    <cellStyle name="常规 86" xfId="16"/>
    <cellStyle name="常规 92" xfId="17"/>
    <cellStyle name="链接单元格 2" xfId="18"/>
    <cellStyle name="千位分隔" xfId="22" builtinId="3"/>
    <cellStyle name="千位分隔 10 2 2" xfId="19"/>
    <cellStyle name="千位分隔 2" xfId="20"/>
    <cellStyle name="千位分隔 2 2" xfId="24"/>
    <cellStyle name="千位分隔 3 9" xf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1378;&#21153;&#37096;\&#21160;&#21147;&#36816;&#34892;&#30005;&#23376;&#26723;\&#21160;&#21147;&#37096;&#33021;&#32791;&#32479;&#35745;&#34920;\2017&#24180;&#21160;&#21147;&#37096;&#33021;&#32791;&#32479;&#35745;&#34920;\2017.5&#33021;&#32791;\&#65288;&#26032;&#65289;2017.5&#33021;&#32791;&#24635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用电能耗表"/>
      <sheetName val="冷水机能耗表"/>
      <sheetName val="纯水能耗表"/>
      <sheetName val="用水能耗表"/>
      <sheetName val="氮气能耗表"/>
      <sheetName val="气体能耗表"/>
      <sheetName val="分电表"/>
      <sheetName val="3月电耗测算"/>
      <sheetName val="每月更新日期"/>
      <sheetName val="转到用电测算"/>
      <sheetName val="集成"/>
      <sheetName val="Sheet1 (2)"/>
      <sheetName val="4寸成本"/>
      <sheetName val="4寸"/>
      <sheetName val="DRF in 2016"/>
      <sheetName val="每月"/>
      <sheetName val="補充資料-10030 asset list"/>
      <sheetName val="Sheet1"/>
      <sheetName val="Sheet4"/>
      <sheetName val="物料需求表"/>
      <sheetName val="初期値"/>
      <sheetName val="FAB"/>
      <sheetName val="组织"/>
      <sheetName val="Bud_inc"/>
      <sheetName val="部门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>
            <v>42851</v>
          </cell>
        </row>
        <row r="3">
          <cell r="B3">
            <v>42852</v>
          </cell>
        </row>
        <row r="4">
          <cell r="B4">
            <v>42853</v>
          </cell>
        </row>
        <row r="5">
          <cell r="B5">
            <v>42854</v>
          </cell>
        </row>
        <row r="6">
          <cell r="B6">
            <v>42855</v>
          </cell>
        </row>
        <row r="7">
          <cell r="B7">
            <v>42856</v>
          </cell>
        </row>
        <row r="8">
          <cell r="B8">
            <v>42857</v>
          </cell>
        </row>
        <row r="9">
          <cell r="B9">
            <v>42858</v>
          </cell>
        </row>
        <row r="10">
          <cell r="B10">
            <v>42859</v>
          </cell>
        </row>
        <row r="11">
          <cell r="B11">
            <v>42860</v>
          </cell>
        </row>
        <row r="12">
          <cell r="B12">
            <v>42861</v>
          </cell>
        </row>
        <row r="13">
          <cell r="B13">
            <v>42862</v>
          </cell>
        </row>
        <row r="14">
          <cell r="B14">
            <v>42863</v>
          </cell>
        </row>
        <row r="15">
          <cell r="B15">
            <v>42864</v>
          </cell>
        </row>
        <row r="16">
          <cell r="B16">
            <v>42865</v>
          </cell>
        </row>
        <row r="17">
          <cell r="B17">
            <v>42866</v>
          </cell>
        </row>
        <row r="18">
          <cell r="B18">
            <v>42867</v>
          </cell>
        </row>
        <row r="19">
          <cell r="B19">
            <v>42868</v>
          </cell>
        </row>
        <row r="20">
          <cell r="B20">
            <v>42869</v>
          </cell>
        </row>
        <row r="21">
          <cell r="B21">
            <v>42870</v>
          </cell>
        </row>
        <row r="22">
          <cell r="B22">
            <v>42871</v>
          </cell>
        </row>
        <row r="23">
          <cell r="B23">
            <v>42872</v>
          </cell>
        </row>
        <row r="24">
          <cell r="B24">
            <v>42873</v>
          </cell>
        </row>
        <row r="25">
          <cell r="B25">
            <v>42874</v>
          </cell>
        </row>
        <row r="26">
          <cell r="B26">
            <v>42875</v>
          </cell>
        </row>
        <row r="27">
          <cell r="B27">
            <v>42876</v>
          </cell>
        </row>
        <row r="28">
          <cell r="B28">
            <v>42877</v>
          </cell>
        </row>
        <row r="29">
          <cell r="B29">
            <v>42878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9"/>
  <sheetViews>
    <sheetView zoomScale="90" zoomScaleNormal="90" workbookViewId="0">
      <pane xSplit="3" ySplit="1" topLeftCell="G20" activePane="bottomRight" state="frozen"/>
      <selection pane="topRight" activeCell="D1" sqref="D1"/>
      <selection pane="bottomLeft" activeCell="A2" sqref="A2"/>
      <selection pane="bottomRight" activeCell="H10" sqref="H10"/>
    </sheetView>
  </sheetViews>
  <sheetFormatPr defaultColWidth="8.88671875" defaultRowHeight="15.6" x14ac:dyDescent="0.25"/>
  <cols>
    <col min="1" max="1" width="5.33203125" style="88" bestFit="1" customWidth="1"/>
    <col min="2" max="2" width="29.33203125" style="88" customWidth="1"/>
    <col min="3" max="3" width="66.21875" style="88" customWidth="1"/>
    <col min="4" max="4" width="14" style="92" bestFit="1" customWidth="1"/>
    <col min="5" max="5" width="13.44140625" style="92" customWidth="1"/>
    <col min="6" max="6" width="14" style="92" bestFit="1" customWidth="1"/>
    <col min="7" max="7" width="11.109375" style="121" bestFit="1" customWidth="1"/>
    <col min="8" max="8" width="13.88671875" style="92" bestFit="1" customWidth="1"/>
    <col min="9" max="9" width="14" style="92" bestFit="1" customWidth="1"/>
    <col min="10" max="10" width="11.109375" style="121" bestFit="1" customWidth="1"/>
    <col min="11" max="11" width="14" style="92" bestFit="1" customWidth="1"/>
    <col min="12" max="12" width="19.88671875" style="92" customWidth="1"/>
    <col min="13" max="16384" width="8.88671875" style="88"/>
  </cols>
  <sheetData>
    <row r="1" spans="1:12" ht="46.8" x14ac:dyDescent="0.25">
      <c r="A1" s="481" t="s">
        <v>78</v>
      </c>
      <c r="B1" s="481" t="s">
        <v>79</v>
      </c>
      <c r="C1" s="481" t="s">
        <v>384</v>
      </c>
      <c r="D1" s="481" t="s">
        <v>94</v>
      </c>
      <c r="E1" s="481" t="s">
        <v>95</v>
      </c>
      <c r="F1" s="481" t="s">
        <v>96</v>
      </c>
      <c r="G1" s="482" t="s">
        <v>113</v>
      </c>
      <c r="H1" s="481" t="s">
        <v>97</v>
      </c>
      <c r="I1" s="481" t="s">
        <v>98</v>
      </c>
      <c r="J1" s="482" t="s">
        <v>99</v>
      </c>
      <c r="K1" s="481" t="s">
        <v>100</v>
      </c>
      <c r="L1" s="481" t="s">
        <v>101</v>
      </c>
    </row>
    <row r="2" spans="1:12" ht="16.2" x14ac:dyDescent="0.25">
      <c r="A2" s="560" t="s">
        <v>107</v>
      </c>
      <c r="B2" s="560"/>
      <c r="C2" s="560"/>
      <c r="D2" s="127">
        <f>D26+D25+D24+D23+D22+D20+D18+D16+D15+D14+D12+D11+D10+D7+D3</f>
        <v>0</v>
      </c>
      <c r="E2" s="127">
        <f>E26+E25+E24+E23+E22+E20+E18+E16+E15+E14+E12+E11+E10+E7+E3</f>
        <v>0</v>
      </c>
      <c r="F2" s="127">
        <f>F26+F25+F24+F23+F22+F20+F18+F16+F15+F14+F12+F11+F10+F7+F3</f>
        <v>0</v>
      </c>
      <c r="G2" s="128" t="e">
        <f>F2/E2</f>
        <v>#DIV/0!</v>
      </c>
      <c r="H2" s="127">
        <f>H26+H25+H24+H23+H22+H20+H18+H16+H15+H14+H12+H11+H10+H7+H3</f>
        <v>0</v>
      </c>
      <c r="I2" s="127">
        <f>I26+I25+I24+I23+I22+I20+I18+I16+I15+I14+I12+I11+I10+I7+I3</f>
        <v>0</v>
      </c>
      <c r="J2" s="128" t="e">
        <f>I2/H2</f>
        <v>#DIV/0!</v>
      </c>
      <c r="K2" s="127">
        <f>'3-1总办办公费'!BK30+'3-2移动电话费'!U31+'3-3 市内交通费'!K42+'3-4 差旅费'!N42+'3-5 业务招待费'!N42+'3-6 汽车费用'!K42+'3-7 安全生产费'!K38+'3-8 环保费'!K38+'3-9绿化费'!AH29+'3-10食堂费用'!W28+'3-11宿舍费用'!AB28+K22+K23+K24+K25+K26</f>
        <v>0</v>
      </c>
      <c r="L2" s="128" t="e">
        <f>(K2-I2)/I2</f>
        <v>#DIV/0!</v>
      </c>
    </row>
    <row r="3" spans="1:12" ht="29.4" customHeight="1" x14ac:dyDescent="0.25">
      <c r="A3" s="563">
        <v>1</v>
      </c>
      <c r="B3" s="563" t="s">
        <v>382</v>
      </c>
      <c r="C3" s="565" t="s">
        <v>80</v>
      </c>
      <c r="D3" s="116"/>
      <c r="E3" s="116"/>
      <c r="F3" s="116"/>
      <c r="G3" s="114"/>
      <c r="H3" s="116"/>
      <c r="I3" s="116"/>
      <c r="J3" s="114"/>
      <c r="K3" s="116"/>
      <c r="L3" s="122" t="e">
        <f>(K3-I3)/I3</f>
        <v>#DIV/0!</v>
      </c>
    </row>
    <row r="4" spans="1:12" ht="29.4" customHeight="1" x14ac:dyDescent="0.25">
      <c r="A4" s="564"/>
      <c r="B4" s="564"/>
      <c r="C4" s="566"/>
      <c r="D4" s="125"/>
      <c r="E4" s="116"/>
      <c r="F4" s="125"/>
      <c r="G4" s="114"/>
      <c r="H4" s="125"/>
      <c r="I4" s="125"/>
      <c r="J4" s="114"/>
      <c r="K4" s="125"/>
      <c r="L4" s="126" t="s">
        <v>118</v>
      </c>
    </row>
    <row r="5" spans="1:12" ht="16.2" x14ac:dyDescent="0.25">
      <c r="A5" s="118">
        <v>2</v>
      </c>
      <c r="B5" s="118" t="s">
        <v>81</v>
      </c>
      <c r="C5" s="557" t="s">
        <v>383</v>
      </c>
      <c r="D5" s="116"/>
      <c r="E5" s="116"/>
      <c r="F5" s="116"/>
      <c r="G5" s="114"/>
      <c r="H5" s="116"/>
      <c r="I5" s="116"/>
      <c r="J5" s="114"/>
      <c r="K5" s="116"/>
      <c r="L5" s="114" t="e">
        <f>(K5-I5)/I5</f>
        <v>#DIV/0!</v>
      </c>
    </row>
    <row r="6" spans="1:12" ht="16.2" x14ac:dyDescent="0.25">
      <c r="A6" s="118">
        <v>3</v>
      </c>
      <c r="B6" s="118" t="s">
        <v>82</v>
      </c>
      <c r="C6" s="557"/>
      <c r="D6" s="116"/>
      <c r="E6" s="116"/>
      <c r="F6" s="116"/>
      <c r="G6" s="114"/>
      <c r="H6" s="116"/>
      <c r="I6" s="116"/>
      <c r="J6" s="114"/>
      <c r="K6" s="116"/>
      <c r="L6" s="114" t="e">
        <f>(K6-I6)/I6</f>
        <v>#DIV/0!</v>
      </c>
    </row>
    <row r="7" spans="1:12" ht="16.2" x14ac:dyDescent="0.25">
      <c r="A7" s="558" t="s">
        <v>83</v>
      </c>
      <c r="B7" s="558" t="s">
        <v>84</v>
      </c>
      <c r="C7" s="557"/>
      <c r="D7" s="116"/>
      <c r="E7" s="116"/>
      <c r="F7" s="116"/>
      <c r="G7" s="114"/>
      <c r="H7" s="116"/>
      <c r="I7" s="116"/>
      <c r="J7" s="114"/>
      <c r="K7" s="116"/>
      <c r="L7" s="122" t="e">
        <f>(K7-I7)/I7</f>
        <v>#DIV/0!</v>
      </c>
    </row>
    <row r="8" spans="1:12" ht="16.2" x14ac:dyDescent="0.25">
      <c r="A8" s="558"/>
      <c r="B8" s="558"/>
      <c r="C8" s="557"/>
      <c r="D8" s="116"/>
      <c r="E8" s="116"/>
      <c r="F8" s="116"/>
      <c r="G8" s="114"/>
      <c r="H8" s="116"/>
      <c r="I8" s="116"/>
      <c r="J8" s="114"/>
      <c r="K8" s="116"/>
      <c r="L8" s="122" t="s">
        <v>122</v>
      </c>
    </row>
    <row r="9" spans="1:12" ht="36" customHeight="1" x14ac:dyDescent="0.25">
      <c r="A9" s="558"/>
      <c r="B9" s="558"/>
      <c r="C9" s="557"/>
      <c r="D9" s="116"/>
      <c r="E9" s="116"/>
      <c r="F9" s="116"/>
      <c r="G9" s="114"/>
      <c r="H9" s="116"/>
      <c r="I9" s="116"/>
      <c r="J9" s="114"/>
      <c r="K9" s="116"/>
      <c r="L9" s="126" t="s">
        <v>121</v>
      </c>
    </row>
    <row r="10" spans="1:12" ht="32.4" customHeight="1" x14ac:dyDescent="0.25">
      <c r="A10" s="118">
        <v>4</v>
      </c>
      <c r="B10" s="118" t="s">
        <v>111</v>
      </c>
      <c r="C10" s="119" t="s">
        <v>85</v>
      </c>
      <c r="D10" s="116"/>
      <c r="E10" s="116"/>
      <c r="F10" s="116"/>
      <c r="G10" s="114"/>
      <c r="H10" s="116"/>
      <c r="I10" s="116"/>
      <c r="J10" s="114"/>
      <c r="K10" s="116"/>
      <c r="L10" s="122" t="e">
        <f>(K10-I10)/I10</f>
        <v>#DIV/0!</v>
      </c>
    </row>
    <row r="11" spans="1:12" ht="16.2" x14ac:dyDescent="0.25">
      <c r="A11" s="118">
        <v>5</v>
      </c>
      <c r="B11" s="118" t="s">
        <v>86</v>
      </c>
      <c r="C11" s="119" t="s">
        <v>85</v>
      </c>
      <c r="D11" s="116"/>
      <c r="E11" s="116"/>
      <c r="F11" s="116"/>
      <c r="G11" s="114"/>
      <c r="H11" s="116"/>
      <c r="I11" s="116"/>
      <c r="J11" s="114"/>
      <c r="K11" s="116"/>
      <c r="L11" s="122" t="e">
        <f>(K11-I11)/I11</f>
        <v>#DIV/0!</v>
      </c>
    </row>
    <row r="12" spans="1:12" ht="48.6" customHeight="1" x14ac:dyDescent="0.25">
      <c r="A12" s="563">
        <v>6</v>
      </c>
      <c r="B12" s="563" t="s">
        <v>102</v>
      </c>
      <c r="C12" s="565" t="s">
        <v>87</v>
      </c>
      <c r="D12" s="116"/>
      <c r="E12" s="116"/>
      <c r="F12" s="116"/>
      <c r="G12" s="114"/>
      <c r="H12" s="116"/>
      <c r="I12" s="116"/>
      <c r="J12" s="114"/>
      <c r="K12" s="116"/>
      <c r="L12" s="122" t="e">
        <f>(K12-I12)/I12</f>
        <v>#DIV/0!</v>
      </c>
    </row>
    <row r="13" spans="1:12" ht="48.6" customHeight="1" x14ac:dyDescent="0.25">
      <c r="A13" s="564"/>
      <c r="B13" s="564"/>
      <c r="C13" s="566"/>
      <c r="D13" s="125"/>
      <c r="E13" s="116"/>
      <c r="F13" s="125"/>
      <c r="G13" s="114"/>
      <c r="H13" s="116"/>
      <c r="I13" s="125"/>
      <c r="J13" s="114"/>
      <c r="K13" s="125"/>
      <c r="L13" s="126" t="s">
        <v>118</v>
      </c>
    </row>
    <row r="14" spans="1:12" ht="18.600000000000001" customHeight="1" x14ac:dyDescent="0.25">
      <c r="A14" s="118">
        <v>7</v>
      </c>
      <c r="B14" s="118" t="s">
        <v>103</v>
      </c>
      <c r="C14" s="119" t="s">
        <v>115</v>
      </c>
      <c r="D14" s="36"/>
      <c r="E14" s="36"/>
      <c r="F14" s="36"/>
      <c r="G14" s="115"/>
      <c r="H14" s="36"/>
      <c r="I14" s="36"/>
      <c r="J14" s="114"/>
      <c r="K14" s="36"/>
      <c r="L14" s="122" t="e">
        <f t="shared" ref="L14:L15" si="0">(K14-I14)/I14</f>
        <v>#DIV/0!</v>
      </c>
    </row>
    <row r="15" spans="1:12" ht="18.600000000000001" customHeight="1" x14ac:dyDescent="0.25">
      <c r="A15" s="118">
        <v>8</v>
      </c>
      <c r="B15" s="118" t="s">
        <v>104</v>
      </c>
      <c r="C15" s="119" t="s">
        <v>114</v>
      </c>
      <c r="D15" s="116"/>
      <c r="E15" s="116"/>
      <c r="F15" s="116"/>
      <c r="G15" s="114"/>
      <c r="H15" s="116"/>
      <c r="I15" s="116"/>
      <c r="J15" s="114"/>
      <c r="K15" s="116"/>
      <c r="L15" s="122" t="e">
        <f t="shared" si="0"/>
        <v>#DIV/0!</v>
      </c>
    </row>
    <row r="16" spans="1:12" ht="31.2" customHeight="1" x14ac:dyDescent="0.25">
      <c r="A16" s="561">
        <v>7</v>
      </c>
      <c r="B16" s="563" t="s">
        <v>106</v>
      </c>
      <c r="C16" s="565" t="s">
        <v>108</v>
      </c>
      <c r="D16" s="116"/>
      <c r="E16" s="116"/>
      <c r="F16" s="116"/>
      <c r="G16" s="114"/>
      <c r="H16" s="116"/>
      <c r="I16" s="116"/>
      <c r="J16" s="114"/>
      <c r="K16" s="116"/>
      <c r="L16" s="122" t="e">
        <f>(K16-I16)/I16</f>
        <v>#DIV/0!</v>
      </c>
    </row>
    <row r="17" spans="1:12" ht="30" customHeight="1" x14ac:dyDescent="0.25">
      <c r="A17" s="562"/>
      <c r="B17" s="564"/>
      <c r="C17" s="566"/>
      <c r="D17" s="124"/>
      <c r="E17" s="124"/>
      <c r="F17" s="124"/>
      <c r="G17" s="123"/>
      <c r="H17" s="123"/>
      <c r="I17" s="124"/>
      <c r="J17" s="123"/>
      <c r="K17" s="124"/>
      <c r="L17" s="126" t="s">
        <v>116</v>
      </c>
    </row>
    <row r="18" spans="1:12" ht="68.400000000000006" customHeight="1" x14ac:dyDescent="0.25">
      <c r="A18" s="559">
        <v>8</v>
      </c>
      <c r="B18" s="558" t="s">
        <v>88</v>
      </c>
      <c r="C18" s="557" t="s">
        <v>109</v>
      </c>
      <c r="D18" s="116"/>
      <c r="E18" s="116"/>
      <c r="F18" s="116"/>
      <c r="G18" s="114"/>
      <c r="H18" s="116"/>
      <c r="I18" s="116"/>
      <c r="J18" s="114"/>
      <c r="K18" s="116"/>
      <c r="L18" s="122" t="e">
        <f>(K18-I18)/I18</f>
        <v>#DIV/0!</v>
      </c>
    </row>
    <row r="19" spans="1:12" ht="68.400000000000006" customHeight="1" x14ac:dyDescent="0.25">
      <c r="A19" s="559"/>
      <c r="B19" s="558"/>
      <c r="C19" s="557"/>
      <c r="D19" s="125"/>
      <c r="E19" s="116"/>
      <c r="F19" s="125"/>
      <c r="G19" s="114"/>
      <c r="H19" s="116"/>
      <c r="I19" s="125"/>
      <c r="J19" s="114"/>
      <c r="K19" s="125"/>
      <c r="L19" s="126" t="s">
        <v>117</v>
      </c>
    </row>
    <row r="20" spans="1:12" ht="60" customHeight="1" x14ac:dyDescent="0.25">
      <c r="A20" s="559">
        <v>9</v>
      </c>
      <c r="B20" s="558" t="s">
        <v>105</v>
      </c>
      <c r="C20" s="557" t="s">
        <v>110</v>
      </c>
      <c r="D20" s="116"/>
      <c r="E20" s="116"/>
      <c r="F20" s="116"/>
      <c r="G20" s="114"/>
      <c r="H20" s="116"/>
      <c r="I20" s="116"/>
      <c r="J20" s="114"/>
      <c r="K20" s="116"/>
      <c r="L20" s="122" t="e">
        <f>(K20-I20)/I20</f>
        <v>#DIV/0!</v>
      </c>
    </row>
    <row r="21" spans="1:12" ht="60" customHeight="1" x14ac:dyDescent="0.25">
      <c r="A21" s="559"/>
      <c r="B21" s="558"/>
      <c r="C21" s="557"/>
      <c r="D21" s="125"/>
      <c r="E21" s="116"/>
      <c r="F21" s="125"/>
      <c r="G21" s="114"/>
      <c r="H21" s="116"/>
      <c r="I21" s="125"/>
      <c r="J21" s="114"/>
      <c r="K21" s="125"/>
      <c r="L21" s="126" t="s">
        <v>119</v>
      </c>
    </row>
    <row r="22" spans="1:12" ht="22.2" customHeight="1" x14ac:dyDescent="0.25">
      <c r="A22" s="117">
        <v>10</v>
      </c>
      <c r="B22" s="118" t="s">
        <v>89</v>
      </c>
      <c r="C22" s="112" t="s">
        <v>123</v>
      </c>
      <c r="D22" s="116"/>
      <c r="E22" s="116"/>
      <c r="F22" s="116"/>
      <c r="G22" s="116"/>
      <c r="H22" s="116"/>
      <c r="I22" s="116"/>
      <c r="J22" s="116"/>
      <c r="K22" s="116"/>
      <c r="L22" s="122" t="e">
        <f>(K22-I22)/I22</f>
        <v>#DIV/0!</v>
      </c>
    </row>
    <row r="23" spans="1:12" ht="22.2" customHeight="1" x14ac:dyDescent="0.25">
      <c r="A23" s="117">
        <v>11</v>
      </c>
      <c r="B23" s="118" t="s">
        <v>90</v>
      </c>
      <c r="C23" s="112" t="s">
        <v>123</v>
      </c>
      <c r="D23" s="116"/>
      <c r="E23" s="114"/>
      <c r="F23" s="116"/>
      <c r="G23" s="114"/>
      <c r="H23" s="116"/>
      <c r="I23" s="116"/>
      <c r="J23" s="114"/>
      <c r="K23" s="116"/>
      <c r="L23" s="122" t="e">
        <f>(K23-I23)/I23</f>
        <v>#DIV/0!</v>
      </c>
    </row>
    <row r="24" spans="1:12" ht="22.2" customHeight="1" x14ac:dyDescent="0.25">
      <c r="A24" s="117">
        <v>12</v>
      </c>
      <c r="B24" s="118" t="s">
        <v>91</v>
      </c>
      <c r="C24" s="113" t="s">
        <v>120</v>
      </c>
      <c r="D24" s="116"/>
      <c r="E24" s="116"/>
      <c r="F24" s="116"/>
      <c r="G24" s="114"/>
      <c r="H24" s="116"/>
      <c r="I24" s="116"/>
      <c r="J24" s="114"/>
      <c r="K24" s="116"/>
      <c r="L24" s="122" t="s">
        <v>112</v>
      </c>
    </row>
    <row r="25" spans="1:12" ht="22.2" customHeight="1" x14ac:dyDescent="0.25">
      <c r="A25" s="117">
        <v>13</v>
      </c>
      <c r="B25" s="117" t="s">
        <v>92</v>
      </c>
      <c r="C25" s="113" t="s">
        <v>124</v>
      </c>
      <c r="D25" s="116"/>
      <c r="E25" s="116"/>
      <c r="F25" s="116"/>
      <c r="G25" s="114"/>
      <c r="H25" s="116"/>
      <c r="I25" s="116"/>
      <c r="J25" s="114"/>
      <c r="K25" s="116"/>
      <c r="L25" s="122" t="s">
        <v>112</v>
      </c>
    </row>
    <row r="26" spans="1:12" ht="22.2" customHeight="1" x14ac:dyDescent="0.25">
      <c r="A26" s="117">
        <v>14</v>
      </c>
      <c r="B26" s="117" t="s">
        <v>93</v>
      </c>
      <c r="C26" s="113" t="s">
        <v>125</v>
      </c>
      <c r="D26" s="116"/>
      <c r="E26" s="116"/>
      <c r="F26" s="116"/>
      <c r="G26" s="114"/>
      <c r="H26" s="116"/>
      <c r="I26" s="116"/>
      <c r="J26" s="114"/>
      <c r="K26" s="116"/>
      <c r="L26" s="122" t="e">
        <f>(K26-I26)/I26</f>
        <v>#DIV/0!</v>
      </c>
    </row>
    <row r="29" spans="1:12" x14ac:dyDescent="0.25">
      <c r="K29" s="59"/>
    </row>
  </sheetData>
  <mergeCells count="19">
    <mergeCell ref="A2:C2"/>
    <mergeCell ref="A18:A19"/>
    <mergeCell ref="B18:B19"/>
    <mergeCell ref="C18:C19"/>
    <mergeCell ref="A16:A17"/>
    <mergeCell ref="B16:B17"/>
    <mergeCell ref="A12:A13"/>
    <mergeCell ref="B12:B13"/>
    <mergeCell ref="C12:C13"/>
    <mergeCell ref="C16:C17"/>
    <mergeCell ref="A3:A4"/>
    <mergeCell ref="B3:B4"/>
    <mergeCell ref="C3:C4"/>
    <mergeCell ref="C5:C9"/>
    <mergeCell ref="A7:A9"/>
    <mergeCell ref="B7:B9"/>
    <mergeCell ref="A20:A21"/>
    <mergeCell ref="B20:B21"/>
    <mergeCell ref="C20:C21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38"/>
  <sheetViews>
    <sheetView topLeftCell="AG1" zoomScale="60" zoomScaleNormal="60" workbookViewId="0">
      <pane ySplit="3" topLeftCell="A10" activePane="bottomLeft" state="frozen"/>
      <selection pane="bottomLeft" activeCell="AT23" sqref="AT23"/>
    </sheetView>
  </sheetViews>
  <sheetFormatPr defaultColWidth="8.88671875" defaultRowHeight="12" outlineLevelRow="1" x14ac:dyDescent="0.15"/>
  <cols>
    <col min="1" max="1" width="22.44140625" style="1" customWidth="1"/>
    <col min="2" max="2" width="6.44140625" style="18" customWidth="1"/>
    <col min="3" max="3" width="10.44140625" style="19" customWidth="1"/>
    <col min="4" max="4" width="8.44140625" style="20" customWidth="1"/>
    <col min="5" max="5" width="6.44140625" style="18" customWidth="1"/>
    <col min="6" max="6" width="10.44140625" style="21" customWidth="1"/>
    <col min="7" max="7" width="8.44140625" style="20" customWidth="1"/>
    <col min="8" max="8" width="6.44140625" style="18" customWidth="1"/>
    <col min="9" max="9" width="12.88671875" style="21" customWidth="1"/>
    <col min="10" max="10" width="10.44140625" style="20" customWidth="1"/>
    <col min="11" max="11" width="10.44140625" style="22" customWidth="1"/>
    <col min="12" max="12" width="10.44140625" style="23" customWidth="1"/>
    <col min="13" max="13" width="10.44140625" style="19" customWidth="1"/>
    <col min="14" max="14" width="14.109375" style="20" customWidth="1"/>
    <col min="15" max="15" width="10.44140625" style="22" customWidth="1"/>
    <col min="16" max="16" width="10.44140625" style="23" customWidth="1"/>
    <col min="17" max="17" width="15.44140625" style="23" customWidth="1"/>
    <col min="18" max="18" width="6.44140625" style="18" customWidth="1"/>
    <col min="19" max="19" width="11.6640625" style="23" customWidth="1"/>
    <col min="20" max="20" width="9.44140625" style="20" customWidth="1"/>
    <col min="21" max="21" width="6.44140625" style="18" customWidth="1"/>
    <col min="22" max="22" width="11.6640625" style="23" customWidth="1"/>
    <col min="23" max="23" width="9.44140625" style="23" customWidth="1"/>
    <col min="24" max="24" width="6.44140625" style="18" customWidth="1"/>
    <col min="25" max="25" width="12.88671875" style="23" customWidth="1"/>
    <col min="26" max="26" width="9.44140625" style="23" customWidth="1"/>
    <col min="27" max="27" width="10.44140625" style="22" customWidth="1"/>
    <col min="28" max="28" width="10.44140625" style="23" customWidth="1"/>
    <col min="29" max="29" width="10.44140625" style="19" customWidth="1"/>
    <col min="30" max="30" width="14.33203125" style="20" customWidth="1"/>
    <col min="31" max="31" width="10.44140625" style="22" customWidth="1"/>
    <col min="32" max="32" width="10.44140625" style="23" customWidth="1"/>
    <col min="33" max="33" width="11.77734375" style="20" customWidth="1"/>
    <col min="34" max="34" width="6.44140625" style="18" customWidth="1"/>
    <col min="35" max="35" width="11.6640625" style="24" customWidth="1"/>
    <col min="36" max="36" width="1.6640625" style="25" customWidth="1"/>
    <col min="37" max="37" width="6.44140625" style="18" customWidth="1"/>
    <col min="38" max="38" width="10.88671875" style="24" customWidth="1"/>
    <col min="39" max="39" width="1.21875" style="24" customWidth="1"/>
    <col min="40" max="40" width="8.21875" style="12" customWidth="1"/>
    <col min="41" max="41" width="10.21875" style="10" customWidth="1"/>
    <col min="42" max="42" width="8.77734375" style="10" customWidth="1"/>
    <col min="43" max="43" width="7.6640625" style="12" customWidth="1"/>
    <col min="44" max="44" width="8.21875" style="10" customWidth="1"/>
    <col min="45" max="45" width="10" style="10" customWidth="1"/>
    <col min="46" max="46" width="7.21875" style="12" customWidth="1"/>
    <col min="47" max="47" width="8.6640625" style="26" customWidth="1"/>
    <col min="48" max="50" width="9.109375" style="27" customWidth="1"/>
    <col min="51" max="51" width="8.21875" style="28" customWidth="1"/>
    <col min="52" max="52" width="8.21875" style="26" customWidth="1"/>
    <col min="53" max="53" width="8.88671875" style="17" customWidth="1"/>
    <col min="54" max="54" width="8.88671875" style="27" customWidth="1"/>
    <col min="55" max="56" width="10.6640625" style="27" bestFit="1" customWidth="1"/>
    <col min="57" max="57" width="9" style="28" customWidth="1"/>
    <col min="58" max="59" width="9" style="26" hidden="1" customWidth="1"/>
    <col min="60" max="60" width="8.88671875" style="26" customWidth="1"/>
    <col min="61" max="63" width="8.88671875" style="27" customWidth="1"/>
    <col min="64" max="64" width="18.6640625" style="17" customWidth="1"/>
    <col min="65" max="65" width="47.88671875" style="526" customWidth="1"/>
    <col min="66" max="16384" width="8.88671875" style="1"/>
  </cols>
  <sheetData>
    <row r="1" spans="1:65" ht="24.75" customHeight="1" x14ac:dyDescent="0.15">
      <c r="A1" s="571" t="s">
        <v>126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71"/>
      <c r="P1" s="571"/>
      <c r="Q1" s="571"/>
      <c r="R1" s="571"/>
      <c r="S1" s="571"/>
      <c r="T1" s="571"/>
      <c r="U1" s="571"/>
      <c r="V1" s="571"/>
      <c r="W1" s="571"/>
      <c r="X1" s="571"/>
      <c r="Y1" s="571"/>
      <c r="Z1" s="571"/>
      <c r="AA1" s="571"/>
      <c r="AB1" s="571"/>
      <c r="AC1" s="571"/>
      <c r="AD1" s="571"/>
      <c r="AE1" s="571"/>
      <c r="AF1" s="571"/>
      <c r="AG1" s="571"/>
      <c r="AH1" s="571"/>
      <c r="AI1" s="571"/>
      <c r="AJ1" s="571"/>
      <c r="AK1" s="571"/>
      <c r="AL1" s="571"/>
      <c r="AM1" s="571"/>
      <c r="AN1" s="571"/>
      <c r="AO1" s="571"/>
      <c r="AP1" s="571"/>
      <c r="AQ1" s="571"/>
      <c r="AR1" s="571"/>
      <c r="AS1" s="571"/>
      <c r="AT1" s="571"/>
      <c r="AU1" s="571"/>
      <c r="AV1" s="571"/>
      <c r="AW1" s="571"/>
      <c r="AX1" s="571"/>
      <c r="AY1" s="571"/>
      <c r="AZ1" s="571"/>
      <c r="BA1" s="571"/>
      <c r="BB1" s="571"/>
      <c r="BC1" s="571"/>
      <c r="BD1" s="571"/>
      <c r="BE1" s="571"/>
      <c r="BF1" s="571"/>
      <c r="BG1" s="571"/>
      <c r="BH1" s="571"/>
      <c r="BI1" s="571"/>
      <c r="BJ1" s="571"/>
      <c r="BK1" s="571"/>
      <c r="BL1" s="571"/>
      <c r="BM1" s="571"/>
    </row>
    <row r="2" spans="1:65" s="130" customFormat="1" ht="14.4" customHeight="1" x14ac:dyDescent="0.35">
      <c r="A2" s="129" t="s">
        <v>388</v>
      </c>
      <c r="B2" s="568" t="s">
        <v>127</v>
      </c>
      <c r="C2" s="569"/>
      <c r="D2" s="570"/>
      <c r="E2" s="568" t="s">
        <v>128</v>
      </c>
      <c r="F2" s="569"/>
      <c r="G2" s="570"/>
      <c r="H2" s="568" t="s">
        <v>129</v>
      </c>
      <c r="I2" s="569"/>
      <c r="J2" s="569"/>
      <c r="K2" s="569"/>
      <c r="L2" s="569"/>
      <c r="M2" s="569"/>
      <c r="N2" s="570"/>
      <c r="O2" s="568" t="s">
        <v>130</v>
      </c>
      <c r="P2" s="569"/>
      <c r="Q2" s="570"/>
      <c r="R2" s="568" t="s">
        <v>131</v>
      </c>
      <c r="S2" s="569"/>
      <c r="T2" s="570"/>
      <c r="U2" s="568" t="s">
        <v>128</v>
      </c>
      <c r="V2" s="569"/>
      <c r="W2" s="570"/>
      <c r="X2" s="568" t="s">
        <v>129</v>
      </c>
      <c r="Y2" s="569"/>
      <c r="Z2" s="569"/>
      <c r="AA2" s="569"/>
      <c r="AB2" s="569"/>
      <c r="AC2" s="569"/>
      <c r="AD2" s="570"/>
      <c r="AE2" s="568" t="s">
        <v>130</v>
      </c>
      <c r="AF2" s="569"/>
      <c r="AG2" s="570"/>
      <c r="AH2" s="568" t="s">
        <v>131</v>
      </c>
      <c r="AI2" s="569"/>
      <c r="AJ2" s="570"/>
      <c r="AK2" s="574" t="s">
        <v>132</v>
      </c>
      <c r="AL2" s="574"/>
      <c r="AM2" s="574"/>
      <c r="AN2" s="574" t="s">
        <v>133</v>
      </c>
      <c r="AO2" s="574"/>
      <c r="AP2" s="574"/>
      <c r="AQ2" s="574" t="s">
        <v>134</v>
      </c>
      <c r="AR2" s="574"/>
      <c r="AS2" s="574"/>
      <c r="AT2" s="568" t="s">
        <v>135</v>
      </c>
      <c r="AU2" s="569"/>
      <c r="AV2" s="569"/>
      <c r="AW2" s="569"/>
      <c r="AX2" s="570"/>
      <c r="AY2" s="568" t="s">
        <v>136</v>
      </c>
      <c r="AZ2" s="569"/>
      <c r="BA2" s="569"/>
      <c r="BB2" s="569"/>
      <c r="BC2" s="569"/>
      <c r="BD2" s="570"/>
      <c r="BE2" s="568" t="s">
        <v>137</v>
      </c>
      <c r="BF2" s="569"/>
      <c r="BG2" s="569"/>
      <c r="BH2" s="569"/>
      <c r="BI2" s="569"/>
      <c r="BJ2" s="569"/>
      <c r="BK2" s="569"/>
      <c r="BL2" s="567" t="s">
        <v>158</v>
      </c>
      <c r="BM2" s="572" t="s">
        <v>138</v>
      </c>
    </row>
    <row r="3" spans="1:65" s="130" customFormat="1" ht="50.25" customHeight="1" x14ac:dyDescent="0.35">
      <c r="A3" s="131" t="s">
        <v>139</v>
      </c>
      <c r="B3" s="132" t="s">
        <v>140</v>
      </c>
      <c r="C3" s="133" t="s">
        <v>141</v>
      </c>
      <c r="D3" s="134" t="s">
        <v>142</v>
      </c>
      <c r="E3" s="132" t="s">
        <v>140</v>
      </c>
      <c r="F3" s="135" t="s">
        <v>141</v>
      </c>
      <c r="G3" s="134" t="s">
        <v>142</v>
      </c>
      <c r="H3" s="132" t="s">
        <v>143</v>
      </c>
      <c r="I3" s="135" t="s">
        <v>144</v>
      </c>
      <c r="J3" s="134" t="s">
        <v>145</v>
      </c>
      <c r="K3" s="136" t="s">
        <v>146</v>
      </c>
      <c r="L3" s="131" t="s">
        <v>147</v>
      </c>
      <c r="M3" s="133" t="s">
        <v>148</v>
      </c>
      <c r="N3" s="134" t="s">
        <v>149</v>
      </c>
      <c r="O3" s="136" t="s">
        <v>143</v>
      </c>
      <c r="P3" s="131" t="s">
        <v>141</v>
      </c>
      <c r="Q3" s="131" t="s">
        <v>150</v>
      </c>
      <c r="R3" s="132" t="s">
        <v>140</v>
      </c>
      <c r="S3" s="131" t="s">
        <v>141</v>
      </c>
      <c r="T3" s="134" t="s">
        <v>142</v>
      </c>
      <c r="U3" s="132" t="s">
        <v>140</v>
      </c>
      <c r="V3" s="131" t="s">
        <v>141</v>
      </c>
      <c r="W3" s="131" t="s">
        <v>142</v>
      </c>
      <c r="X3" s="132" t="s">
        <v>140</v>
      </c>
      <c r="Y3" s="131" t="s">
        <v>141</v>
      </c>
      <c r="Z3" s="131" t="s">
        <v>151</v>
      </c>
      <c r="AA3" s="136" t="s">
        <v>146</v>
      </c>
      <c r="AB3" s="131" t="s">
        <v>147</v>
      </c>
      <c r="AC3" s="133" t="s">
        <v>148</v>
      </c>
      <c r="AD3" s="134" t="s">
        <v>152</v>
      </c>
      <c r="AE3" s="136" t="s">
        <v>143</v>
      </c>
      <c r="AF3" s="131" t="s">
        <v>141</v>
      </c>
      <c r="AG3" s="134" t="s">
        <v>153</v>
      </c>
      <c r="AH3" s="132" t="s">
        <v>140</v>
      </c>
      <c r="AI3" s="131" t="s">
        <v>154</v>
      </c>
      <c r="AJ3" s="134" t="s">
        <v>142</v>
      </c>
      <c r="AK3" s="132" t="s">
        <v>140</v>
      </c>
      <c r="AL3" s="131" t="s">
        <v>154</v>
      </c>
      <c r="AM3" s="131" t="s">
        <v>155</v>
      </c>
      <c r="AN3" s="136" t="s">
        <v>140</v>
      </c>
      <c r="AO3" s="131" t="s">
        <v>154</v>
      </c>
      <c r="AP3" s="131" t="s">
        <v>155</v>
      </c>
      <c r="AQ3" s="136" t="s">
        <v>140</v>
      </c>
      <c r="AR3" s="131" t="s">
        <v>154</v>
      </c>
      <c r="AS3" s="131" t="s">
        <v>155</v>
      </c>
      <c r="AT3" s="136" t="s">
        <v>140</v>
      </c>
      <c r="AU3" s="131" t="s">
        <v>154</v>
      </c>
      <c r="AV3" s="137" t="s">
        <v>385</v>
      </c>
      <c r="AW3" s="137" t="s">
        <v>386</v>
      </c>
      <c r="AX3" s="131" t="s">
        <v>387</v>
      </c>
      <c r="AY3" s="136" t="s">
        <v>140</v>
      </c>
      <c r="AZ3" s="131" t="s">
        <v>154</v>
      </c>
      <c r="BA3" s="133" t="s">
        <v>148</v>
      </c>
      <c r="BB3" s="137" t="s">
        <v>155</v>
      </c>
      <c r="BC3" s="137" t="s">
        <v>386</v>
      </c>
      <c r="BD3" s="131" t="s">
        <v>387</v>
      </c>
      <c r="BE3" s="136" t="s">
        <v>1</v>
      </c>
      <c r="BF3" s="131" t="s">
        <v>156</v>
      </c>
      <c r="BG3" s="131" t="s">
        <v>157</v>
      </c>
      <c r="BH3" s="131" t="s">
        <v>2</v>
      </c>
      <c r="BI3" s="137" t="s">
        <v>3</v>
      </c>
      <c r="BJ3" s="137" t="s">
        <v>386</v>
      </c>
      <c r="BK3" s="539" t="s">
        <v>387</v>
      </c>
      <c r="BL3" s="567"/>
      <c r="BM3" s="573"/>
    </row>
    <row r="4" spans="1:65" s="130" customFormat="1" ht="23.4" customHeight="1" outlineLevel="1" x14ac:dyDescent="0.35">
      <c r="A4" s="138" t="s">
        <v>159</v>
      </c>
      <c r="B4" s="139"/>
      <c r="C4" s="140"/>
      <c r="D4" s="141"/>
      <c r="E4" s="139"/>
      <c r="F4" s="142"/>
      <c r="G4" s="141"/>
      <c r="H4" s="139"/>
      <c r="I4" s="142"/>
      <c r="J4" s="141"/>
      <c r="K4" s="143"/>
      <c r="L4" s="144"/>
      <c r="M4" s="140"/>
      <c r="N4" s="141"/>
      <c r="O4" s="143"/>
      <c r="P4" s="144"/>
      <c r="Q4" s="145"/>
      <c r="R4" s="139"/>
      <c r="S4" s="145"/>
      <c r="T4" s="141"/>
      <c r="U4" s="139"/>
      <c r="V4" s="145"/>
      <c r="W4" s="145"/>
      <c r="X4" s="139"/>
      <c r="Y4" s="145"/>
      <c r="Z4" s="145"/>
      <c r="AA4" s="143"/>
      <c r="AB4" s="144"/>
      <c r="AC4" s="140"/>
      <c r="AD4" s="141"/>
      <c r="AE4" s="143"/>
      <c r="AF4" s="144"/>
      <c r="AG4" s="141"/>
      <c r="AH4" s="139"/>
      <c r="AI4" s="145"/>
      <c r="AJ4" s="141"/>
      <c r="AK4" s="139"/>
      <c r="AL4" s="145"/>
      <c r="AM4" s="145" t="e">
        <f>(AL4/AK4)*10000/12</f>
        <v>#DIV/0!</v>
      </c>
      <c r="AN4" s="146"/>
      <c r="AO4" s="145"/>
      <c r="AP4" s="145"/>
      <c r="AQ4" s="143"/>
      <c r="AR4" s="145"/>
      <c r="AS4" s="145"/>
      <c r="AT4" s="143"/>
      <c r="AU4" s="147"/>
      <c r="AV4" s="148"/>
      <c r="AW4" s="145"/>
      <c r="AX4" s="145"/>
      <c r="AY4" s="149"/>
      <c r="AZ4" s="147"/>
      <c r="BA4" s="150"/>
      <c r="BB4" s="148"/>
      <c r="BC4" s="148"/>
      <c r="BD4" s="148"/>
      <c r="BE4" s="149"/>
      <c r="BF4" s="147"/>
      <c r="BG4" s="147"/>
      <c r="BH4" s="147"/>
      <c r="BI4" s="148"/>
      <c r="BJ4" s="148"/>
      <c r="BK4" s="148"/>
      <c r="BL4" s="150"/>
      <c r="BM4" s="164"/>
    </row>
    <row r="5" spans="1:65" s="130" customFormat="1" ht="23.4" customHeight="1" outlineLevel="1" x14ac:dyDescent="0.35">
      <c r="A5" s="138" t="s">
        <v>160</v>
      </c>
      <c r="B5" s="139"/>
      <c r="C5" s="140"/>
      <c r="D5" s="141"/>
      <c r="E5" s="139"/>
      <c r="F5" s="142"/>
      <c r="G5" s="141"/>
      <c r="H5" s="139"/>
      <c r="I5" s="142"/>
      <c r="J5" s="141"/>
      <c r="K5" s="143"/>
      <c r="L5" s="144"/>
      <c r="M5" s="140"/>
      <c r="N5" s="141"/>
      <c r="O5" s="143"/>
      <c r="P5" s="144"/>
      <c r="Q5" s="145"/>
      <c r="R5" s="139"/>
      <c r="S5" s="145"/>
      <c r="T5" s="141"/>
      <c r="U5" s="139"/>
      <c r="V5" s="145"/>
      <c r="W5" s="145"/>
      <c r="X5" s="139"/>
      <c r="Y5" s="145"/>
      <c r="Z5" s="145"/>
      <c r="AA5" s="143"/>
      <c r="AB5" s="144"/>
      <c r="AC5" s="140"/>
      <c r="AD5" s="141"/>
      <c r="AE5" s="143"/>
      <c r="AF5" s="144"/>
      <c r="AG5" s="141"/>
      <c r="AH5" s="139"/>
      <c r="AI5" s="145"/>
      <c r="AJ5" s="141"/>
      <c r="AK5" s="139"/>
      <c r="AL5" s="145"/>
      <c r="AM5" s="145" t="e">
        <f t="shared" ref="AM5:AM8" si="0">(AL5/AK5)*10000/12</f>
        <v>#DIV/0!</v>
      </c>
      <c r="AN5" s="146"/>
      <c r="AO5" s="145"/>
      <c r="AP5" s="145"/>
      <c r="AQ5" s="143"/>
      <c r="AR5" s="145"/>
      <c r="AS5" s="145"/>
      <c r="AT5" s="143"/>
      <c r="AU5" s="147"/>
      <c r="AV5" s="148"/>
      <c r="AW5" s="145"/>
      <c r="AX5" s="145"/>
      <c r="AY5" s="149"/>
      <c r="AZ5" s="147"/>
      <c r="BA5" s="150"/>
      <c r="BB5" s="148"/>
      <c r="BC5" s="145"/>
      <c r="BD5" s="148"/>
      <c r="BE5" s="149"/>
      <c r="BF5" s="147"/>
      <c r="BG5" s="147"/>
      <c r="BH5" s="147"/>
      <c r="BI5" s="148"/>
      <c r="BJ5" s="145"/>
      <c r="BK5" s="148"/>
      <c r="BL5" s="150"/>
      <c r="BM5" s="164"/>
    </row>
    <row r="6" spans="1:65" s="130" customFormat="1" ht="23.4" customHeight="1" outlineLevel="1" x14ac:dyDescent="0.35">
      <c r="A6" s="138" t="s">
        <v>161</v>
      </c>
      <c r="B6" s="139"/>
      <c r="C6" s="140"/>
      <c r="D6" s="141"/>
      <c r="E6" s="139"/>
      <c r="F6" s="142"/>
      <c r="G6" s="141"/>
      <c r="H6" s="139"/>
      <c r="I6" s="142"/>
      <c r="J6" s="141"/>
      <c r="K6" s="143"/>
      <c r="L6" s="144"/>
      <c r="M6" s="140"/>
      <c r="N6" s="141"/>
      <c r="O6" s="143"/>
      <c r="P6" s="144"/>
      <c r="Q6" s="145"/>
      <c r="R6" s="139"/>
      <c r="S6" s="145"/>
      <c r="T6" s="141"/>
      <c r="U6" s="139"/>
      <c r="V6" s="145"/>
      <c r="W6" s="145"/>
      <c r="X6" s="139"/>
      <c r="Y6" s="145"/>
      <c r="Z6" s="145"/>
      <c r="AA6" s="143"/>
      <c r="AB6" s="144"/>
      <c r="AC6" s="140"/>
      <c r="AD6" s="141"/>
      <c r="AE6" s="143"/>
      <c r="AF6" s="144"/>
      <c r="AG6" s="141"/>
      <c r="AH6" s="139"/>
      <c r="AI6" s="145"/>
      <c r="AJ6" s="141"/>
      <c r="AK6" s="139"/>
      <c r="AL6" s="145"/>
      <c r="AM6" s="145" t="e">
        <f t="shared" si="0"/>
        <v>#DIV/0!</v>
      </c>
      <c r="AN6" s="146"/>
      <c r="AO6" s="145"/>
      <c r="AP6" s="145"/>
      <c r="AQ6" s="143"/>
      <c r="AR6" s="145"/>
      <c r="AS6" s="145"/>
      <c r="AT6" s="143"/>
      <c r="AU6" s="147"/>
      <c r="AV6" s="148"/>
      <c r="AW6" s="145"/>
      <c r="AX6" s="145"/>
      <c r="AY6" s="149"/>
      <c r="AZ6" s="147"/>
      <c r="BA6" s="150"/>
      <c r="BB6" s="148"/>
      <c r="BC6" s="148"/>
      <c r="BD6" s="148"/>
      <c r="BE6" s="149"/>
      <c r="BF6" s="147"/>
      <c r="BG6" s="147"/>
      <c r="BH6" s="147"/>
      <c r="BI6" s="148"/>
      <c r="BJ6" s="148"/>
      <c r="BK6" s="148"/>
      <c r="BL6" s="150"/>
      <c r="BM6" s="164"/>
    </row>
    <row r="7" spans="1:65" s="130" customFormat="1" ht="23.4" customHeight="1" outlineLevel="1" x14ac:dyDescent="0.35">
      <c r="A7" s="138" t="s">
        <v>162</v>
      </c>
      <c r="B7" s="139"/>
      <c r="C7" s="140"/>
      <c r="D7" s="141"/>
      <c r="E7" s="139"/>
      <c r="F7" s="142"/>
      <c r="G7" s="141"/>
      <c r="H7" s="139"/>
      <c r="I7" s="142"/>
      <c r="J7" s="141"/>
      <c r="K7" s="143"/>
      <c r="L7" s="144"/>
      <c r="M7" s="140"/>
      <c r="N7" s="141"/>
      <c r="O7" s="143"/>
      <c r="P7" s="144"/>
      <c r="Q7" s="145"/>
      <c r="R7" s="139"/>
      <c r="S7" s="145"/>
      <c r="T7" s="141"/>
      <c r="U7" s="139"/>
      <c r="V7" s="145"/>
      <c r="W7" s="145"/>
      <c r="X7" s="139"/>
      <c r="Y7" s="145"/>
      <c r="Z7" s="145"/>
      <c r="AA7" s="143"/>
      <c r="AB7" s="144"/>
      <c r="AC7" s="140"/>
      <c r="AD7" s="141"/>
      <c r="AE7" s="143"/>
      <c r="AF7" s="144"/>
      <c r="AG7" s="141"/>
      <c r="AH7" s="139"/>
      <c r="AI7" s="145"/>
      <c r="AJ7" s="141"/>
      <c r="AK7" s="139"/>
      <c r="AL7" s="145"/>
      <c r="AM7" s="145" t="e">
        <f t="shared" si="0"/>
        <v>#DIV/0!</v>
      </c>
      <c r="AN7" s="146"/>
      <c r="AO7" s="145"/>
      <c r="AP7" s="145"/>
      <c r="AQ7" s="143"/>
      <c r="AR7" s="145"/>
      <c r="AS7" s="145"/>
      <c r="AT7" s="143"/>
      <c r="AU7" s="147"/>
      <c r="AV7" s="148"/>
      <c r="AW7" s="145"/>
      <c r="AX7" s="145"/>
      <c r="AY7" s="149"/>
      <c r="AZ7" s="147"/>
      <c r="BA7" s="150"/>
      <c r="BB7" s="148"/>
      <c r="BC7" s="148"/>
      <c r="BD7" s="148"/>
      <c r="BE7" s="149"/>
      <c r="BF7" s="147"/>
      <c r="BG7" s="147"/>
      <c r="BH7" s="147"/>
      <c r="BI7" s="148"/>
      <c r="BJ7" s="148"/>
      <c r="BK7" s="148"/>
      <c r="BL7" s="150"/>
      <c r="BM7" s="164"/>
    </row>
    <row r="8" spans="1:65" s="130" customFormat="1" ht="23.4" customHeight="1" outlineLevel="1" x14ac:dyDescent="0.35">
      <c r="A8" s="138" t="s">
        <v>163</v>
      </c>
      <c r="B8" s="139"/>
      <c r="C8" s="140"/>
      <c r="D8" s="141"/>
      <c r="E8" s="139"/>
      <c r="F8" s="142"/>
      <c r="G8" s="141"/>
      <c r="H8" s="139"/>
      <c r="I8" s="142"/>
      <c r="J8" s="141"/>
      <c r="K8" s="143"/>
      <c r="L8" s="144"/>
      <c r="M8" s="140"/>
      <c r="N8" s="141"/>
      <c r="O8" s="143"/>
      <c r="P8" s="144"/>
      <c r="Q8" s="145"/>
      <c r="R8" s="139"/>
      <c r="S8" s="145"/>
      <c r="T8" s="141"/>
      <c r="U8" s="139"/>
      <c r="V8" s="145"/>
      <c r="W8" s="145"/>
      <c r="X8" s="139"/>
      <c r="Y8" s="145"/>
      <c r="Z8" s="145"/>
      <c r="AA8" s="143"/>
      <c r="AB8" s="144"/>
      <c r="AC8" s="140"/>
      <c r="AD8" s="141"/>
      <c r="AE8" s="143"/>
      <c r="AF8" s="144"/>
      <c r="AG8" s="141"/>
      <c r="AH8" s="139"/>
      <c r="AI8" s="145"/>
      <c r="AJ8" s="141"/>
      <c r="AK8" s="139"/>
      <c r="AL8" s="145"/>
      <c r="AM8" s="145" t="e">
        <f t="shared" si="0"/>
        <v>#DIV/0!</v>
      </c>
      <c r="AN8" s="146"/>
      <c r="AO8" s="145"/>
      <c r="AP8" s="145"/>
      <c r="AQ8" s="143"/>
      <c r="AR8" s="145"/>
      <c r="AS8" s="145"/>
      <c r="AT8" s="143"/>
      <c r="AU8" s="147"/>
      <c r="AV8" s="148"/>
      <c r="AW8" s="145"/>
      <c r="AX8" s="145"/>
      <c r="AY8" s="149"/>
      <c r="AZ8" s="147"/>
      <c r="BA8" s="150"/>
      <c r="BB8" s="148"/>
      <c r="BC8" s="148"/>
      <c r="BD8" s="148"/>
      <c r="BE8" s="149"/>
      <c r="BF8" s="147"/>
      <c r="BG8" s="147"/>
      <c r="BH8" s="147"/>
      <c r="BI8" s="148"/>
      <c r="BJ8" s="148"/>
      <c r="BK8" s="148"/>
      <c r="BL8" s="150"/>
      <c r="BM8" s="164"/>
    </row>
    <row r="9" spans="1:65" s="162" customFormat="1" ht="23.4" customHeight="1" x14ac:dyDescent="0.4">
      <c r="A9" s="151" t="s">
        <v>164</v>
      </c>
      <c r="B9" s="152"/>
      <c r="C9" s="153"/>
      <c r="D9" s="154"/>
      <c r="E9" s="152"/>
      <c r="F9" s="155"/>
      <c r="G9" s="154"/>
      <c r="H9" s="152"/>
      <c r="I9" s="155"/>
      <c r="J9" s="154"/>
      <c r="K9" s="156"/>
      <c r="L9" s="157"/>
      <c r="M9" s="153"/>
      <c r="N9" s="154"/>
      <c r="O9" s="156"/>
      <c r="P9" s="157"/>
      <c r="Q9" s="157"/>
      <c r="R9" s="152"/>
      <c r="S9" s="157"/>
      <c r="T9" s="154"/>
      <c r="U9" s="152"/>
      <c r="V9" s="157"/>
      <c r="W9" s="157"/>
      <c r="X9" s="152"/>
      <c r="Y9" s="157"/>
      <c r="Z9" s="157"/>
      <c r="AA9" s="156"/>
      <c r="AB9" s="157"/>
      <c r="AC9" s="153"/>
      <c r="AD9" s="154"/>
      <c r="AE9" s="156"/>
      <c r="AF9" s="157"/>
      <c r="AG9" s="154"/>
      <c r="AH9" s="152"/>
      <c r="AI9" s="157"/>
      <c r="AJ9" s="154"/>
      <c r="AK9" s="152"/>
      <c r="AL9" s="157"/>
      <c r="AM9" s="157" t="e">
        <f>(AL9/AK9)*10000/12</f>
        <v>#DIV/0!</v>
      </c>
      <c r="AN9" s="156"/>
      <c r="AO9" s="157"/>
      <c r="AP9" s="157"/>
      <c r="AQ9" s="156"/>
      <c r="AR9" s="157"/>
      <c r="AS9" s="157"/>
      <c r="AT9" s="156"/>
      <c r="AU9" s="158"/>
      <c r="AV9" s="159"/>
      <c r="AW9" s="159"/>
      <c r="AX9" s="159"/>
      <c r="AY9" s="160"/>
      <c r="AZ9" s="158"/>
      <c r="BA9" s="161"/>
      <c r="BB9" s="159"/>
      <c r="BC9" s="159"/>
      <c r="BD9" s="159"/>
      <c r="BE9" s="160"/>
      <c r="BF9" s="158"/>
      <c r="BG9" s="158"/>
      <c r="BH9" s="158"/>
      <c r="BI9" s="159"/>
      <c r="BJ9" s="159"/>
      <c r="BK9" s="159"/>
      <c r="BL9" s="161"/>
      <c r="BM9" s="522"/>
    </row>
    <row r="10" spans="1:65" s="130" customFormat="1" ht="23.4" customHeight="1" outlineLevel="1" x14ac:dyDescent="0.35">
      <c r="A10" s="138" t="s">
        <v>165</v>
      </c>
      <c r="B10" s="163"/>
      <c r="C10" s="140"/>
      <c r="D10" s="141"/>
      <c r="E10" s="163"/>
      <c r="F10" s="142"/>
      <c r="G10" s="141"/>
      <c r="H10" s="139"/>
      <c r="I10" s="142"/>
      <c r="J10" s="141"/>
      <c r="K10" s="143"/>
      <c r="L10" s="144"/>
      <c r="M10" s="140"/>
      <c r="N10" s="141"/>
      <c r="O10" s="143"/>
      <c r="P10" s="144"/>
      <c r="Q10" s="145"/>
      <c r="R10" s="163"/>
      <c r="S10" s="145"/>
      <c r="T10" s="141"/>
      <c r="U10" s="163"/>
      <c r="V10" s="145"/>
      <c r="W10" s="145"/>
      <c r="X10" s="139"/>
      <c r="Y10" s="145"/>
      <c r="Z10" s="145"/>
      <c r="AA10" s="143"/>
      <c r="AB10" s="144"/>
      <c r="AC10" s="140"/>
      <c r="AD10" s="141"/>
      <c r="AE10" s="143"/>
      <c r="AF10" s="144"/>
      <c r="AG10" s="141"/>
      <c r="AH10" s="163"/>
      <c r="AI10" s="145"/>
      <c r="AJ10" s="141"/>
      <c r="AK10" s="163"/>
      <c r="AL10" s="145"/>
      <c r="AM10" s="145"/>
      <c r="AN10" s="146"/>
      <c r="AO10" s="145"/>
      <c r="AP10" s="145"/>
      <c r="AQ10" s="143"/>
      <c r="AR10" s="145"/>
      <c r="AS10" s="145"/>
      <c r="AT10" s="143"/>
      <c r="AU10" s="147"/>
      <c r="AV10" s="148"/>
      <c r="AW10" s="145"/>
      <c r="AX10" s="145"/>
      <c r="AY10" s="149"/>
      <c r="AZ10" s="147"/>
      <c r="BA10" s="150"/>
      <c r="BB10" s="148"/>
      <c r="BC10" s="148"/>
      <c r="BD10" s="148"/>
      <c r="BE10" s="149"/>
      <c r="BF10" s="147"/>
      <c r="BG10" s="147"/>
      <c r="BH10" s="147"/>
      <c r="BI10" s="148"/>
      <c r="BJ10" s="148"/>
      <c r="BK10" s="148"/>
      <c r="BL10" s="150"/>
      <c r="BM10" s="164"/>
    </row>
    <row r="11" spans="1:65" s="130" customFormat="1" ht="23.4" customHeight="1" outlineLevel="1" x14ac:dyDescent="0.35">
      <c r="A11" s="138" t="s">
        <v>166</v>
      </c>
      <c r="B11" s="139"/>
      <c r="C11" s="140"/>
      <c r="D11" s="141"/>
      <c r="E11" s="139"/>
      <c r="F11" s="142"/>
      <c r="G11" s="141"/>
      <c r="H11" s="139"/>
      <c r="I11" s="142"/>
      <c r="J11" s="141"/>
      <c r="K11" s="143"/>
      <c r="L11" s="144"/>
      <c r="M11" s="140"/>
      <c r="N11" s="141"/>
      <c r="O11" s="143"/>
      <c r="P11" s="144"/>
      <c r="Q11" s="145"/>
      <c r="R11" s="139"/>
      <c r="S11" s="145"/>
      <c r="T11" s="141"/>
      <c r="U11" s="139"/>
      <c r="V11" s="145"/>
      <c r="W11" s="145"/>
      <c r="X11" s="139"/>
      <c r="Y11" s="145"/>
      <c r="Z11" s="145"/>
      <c r="AA11" s="143"/>
      <c r="AB11" s="144"/>
      <c r="AC11" s="140"/>
      <c r="AD11" s="141"/>
      <c r="AE11" s="143"/>
      <c r="AF11" s="144"/>
      <c r="AG11" s="141"/>
      <c r="AH11" s="139"/>
      <c r="AI11" s="145"/>
      <c r="AJ11" s="141"/>
      <c r="AK11" s="139"/>
      <c r="AL11" s="145"/>
      <c r="AM11" s="145"/>
      <c r="AN11" s="146"/>
      <c r="AO11" s="145"/>
      <c r="AP11" s="145"/>
      <c r="AQ11" s="143"/>
      <c r="AR11" s="145"/>
      <c r="AS11" s="145"/>
      <c r="AT11" s="143"/>
      <c r="AU11" s="147"/>
      <c r="AV11" s="148"/>
      <c r="AW11" s="148"/>
      <c r="AX11" s="148"/>
      <c r="AY11" s="149"/>
      <c r="AZ11" s="147"/>
      <c r="BA11" s="150"/>
      <c r="BB11" s="148"/>
      <c r="BC11" s="145"/>
      <c r="BD11" s="148"/>
      <c r="BE11" s="149"/>
      <c r="BF11" s="147"/>
      <c r="BG11" s="147"/>
      <c r="BH11" s="147"/>
      <c r="BI11" s="148"/>
      <c r="BJ11" s="145"/>
      <c r="BK11" s="148"/>
      <c r="BL11" s="150"/>
      <c r="BM11" s="164"/>
    </row>
    <row r="12" spans="1:65" s="162" customFormat="1" ht="23.4" customHeight="1" x14ac:dyDescent="0.4">
      <c r="A12" s="151" t="s">
        <v>167</v>
      </c>
      <c r="B12" s="152"/>
      <c r="C12" s="153"/>
      <c r="D12" s="154"/>
      <c r="E12" s="152"/>
      <c r="F12" s="155"/>
      <c r="G12" s="154"/>
      <c r="H12" s="152"/>
      <c r="I12" s="155"/>
      <c r="J12" s="154"/>
      <c r="K12" s="156"/>
      <c r="L12" s="157"/>
      <c r="M12" s="153"/>
      <c r="N12" s="154"/>
      <c r="O12" s="156"/>
      <c r="P12" s="157"/>
      <c r="Q12" s="157"/>
      <c r="R12" s="152"/>
      <c r="S12" s="157"/>
      <c r="T12" s="154"/>
      <c r="U12" s="152"/>
      <c r="V12" s="157"/>
      <c r="W12" s="157"/>
      <c r="X12" s="152"/>
      <c r="Y12" s="157"/>
      <c r="Z12" s="157"/>
      <c r="AA12" s="156"/>
      <c r="AB12" s="157"/>
      <c r="AC12" s="153"/>
      <c r="AD12" s="154"/>
      <c r="AE12" s="156"/>
      <c r="AF12" s="157"/>
      <c r="AG12" s="154"/>
      <c r="AH12" s="152"/>
      <c r="AI12" s="157"/>
      <c r="AJ12" s="154"/>
      <c r="AK12" s="152"/>
      <c r="AL12" s="157"/>
      <c r="AM12" s="157"/>
      <c r="AN12" s="156"/>
      <c r="AO12" s="157"/>
      <c r="AP12" s="157"/>
      <c r="AQ12" s="156"/>
      <c r="AR12" s="157"/>
      <c r="AS12" s="157"/>
      <c r="AT12" s="156"/>
      <c r="AU12" s="158"/>
      <c r="AV12" s="159"/>
      <c r="AW12" s="159"/>
      <c r="AX12" s="159"/>
      <c r="AY12" s="160"/>
      <c r="AZ12" s="158"/>
      <c r="BA12" s="161"/>
      <c r="BB12" s="159"/>
      <c r="BC12" s="159"/>
      <c r="BD12" s="159"/>
      <c r="BE12" s="160"/>
      <c r="BF12" s="158"/>
      <c r="BG12" s="158"/>
      <c r="BH12" s="158"/>
      <c r="BI12" s="159"/>
      <c r="BJ12" s="159"/>
      <c r="BK12" s="159"/>
      <c r="BL12" s="161"/>
      <c r="BM12" s="522"/>
    </row>
    <row r="13" spans="1:65" s="130" customFormat="1" ht="23.4" customHeight="1" outlineLevel="1" x14ac:dyDescent="0.35">
      <c r="A13" s="138" t="s">
        <v>168</v>
      </c>
      <c r="B13" s="139"/>
      <c r="C13" s="140"/>
      <c r="D13" s="141"/>
      <c r="E13" s="139"/>
      <c r="F13" s="142"/>
      <c r="G13" s="141"/>
      <c r="H13" s="139"/>
      <c r="I13" s="142"/>
      <c r="J13" s="141"/>
      <c r="K13" s="143"/>
      <c r="L13" s="144"/>
      <c r="M13" s="140"/>
      <c r="N13" s="141"/>
      <c r="O13" s="143"/>
      <c r="P13" s="144"/>
      <c r="Q13" s="145"/>
      <c r="R13" s="139"/>
      <c r="S13" s="145"/>
      <c r="T13" s="141"/>
      <c r="U13" s="139"/>
      <c r="V13" s="145"/>
      <c r="W13" s="145"/>
      <c r="X13" s="139"/>
      <c r="Y13" s="145"/>
      <c r="Z13" s="145"/>
      <c r="AA13" s="143"/>
      <c r="AB13" s="144"/>
      <c r="AC13" s="140"/>
      <c r="AD13" s="141"/>
      <c r="AE13" s="143"/>
      <c r="AF13" s="144"/>
      <c r="AG13" s="141"/>
      <c r="AH13" s="139"/>
      <c r="AI13" s="145"/>
      <c r="AJ13" s="141"/>
      <c r="AK13" s="139"/>
      <c r="AL13" s="145"/>
      <c r="AM13" s="145"/>
      <c r="AN13" s="146"/>
      <c r="AO13" s="145"/>
      <c r="AP13" s="145"/>
      <c r="AQ13" s="143"/>
      <c r="AR13" s="145"/>
      <c r="AS13" s="145"/>
      <c r="AT13" s="143"/>
      <c r="AU13" s="147"/>
      <c r="AV13" s="148"/>
      <c r="AW13" s="145"/>
      <c r="AX13" s="145"/>
      <c r="AY13" s="149"/>
      <c r="AZ13" s="147"/>
      <c r="BA13" s="150"/>
      <c r="BB13" s="148"/>
      <c r="BC13" s="145"/>
      <c r="BD13" s="148"/>
      <c r="BE13" s="149"/>
      <c r="BF13" s="147"/>
      <c r="BG13" s="147"/>
      <c r="BH13" s="147"/>
      <c r="BI13" s="148"/>
      <c r="BJ13" s="145"/>
      <c r="BK13" s="148"/>
      <c r="BL13" s="150"/>
      <c r="BM13" s="164"/>
    </row>
    <row r="14" spans="1:65" s="130" customFormat="1" ht="23.4" customHeight="1" outlineLevel="1" x14ac:dyDescent="0.35">
      <c r="A14" s="138" t="s">
        <v>169</v>
      </c>
      <c r="B14" s="139"/>
      <c r="C14" s="140"/>
      <c r="D14" s="141"/>
      <c r="E14" s="139"/>
      <c r="F14" s="142"/>
      <c r="G14" s="141"/>
      <c r="H14" s="139"/>
      <c r="I14" s="142"/>
      <c r="J14" s="141"/>
      <c r="K14" s="143"/>
      <c r="L14" s="144"/>
      <c r="M14" s="140"/>
      <c r="N14" s="141"/>
      <c r="O14" s="143"/>
      <c r="P14" s="144"/>
      <c r="Q14" s="145"/>
      <c r="R14" s="139"/>
      <c r="S14" s="145"/>
      <c r="T14" s="141"/>
      <c r="U14" s="139"/>
      <c r="V14" s="145"/>
      <c r="W14" s="145"/>
      <c r="X14" s="139"/>
      <c r="Y14" s="145"/>
      <c r="Z14" s="145"/>
      <c r="AA14" s="143"/>
      <c r="AB14" s="144"/>
      <c r="AC14" s="140"/>
      <c r="AD14" s="141"/>
      <c r="AE14" s="143"/>
      <c r="AF14" s="144"/>
      <c r="AG14" s="141"/>
      <c r="AH14" s="139"/>
      <c r="AI14" s="145"/>
      <c r="AJ14" s="141"/>
      <c r="AK14" s="139"/>
      <c r="AL14" s="145"/>
      <c r="AM14" s="145"/>
      <c r="AN14" s="146"/>
      <c r="AO14" s="145"/>
      <c r="AP14" s="145"/>
      <c r="AQ14" s="143"/>
      <c r="AR14" s="145"/>
      <c r="AS14" s="145"/>
      <c r="AT14" s="143"/>
      <c r="AU14" s="147"/>
      <c r="AV14" s="148"/>
      <c r="AW14" s="145"/>
      <c r="AX14" s="145"/>
      <c r="AY14" s="149"/>
      <c r="AZ14" s="147"/>
      <c r="BA14" s="150"/>
      <c r="BB14" s="148"/>
      <c r="BC14" s="145"/>
      <c r="BD14" s="148"/>
      <c r="BE14" s="149"/>
      <c r="BF14" s="147"/>
      <c r="BG14" s="147"/>
      <c r="BH14" s="147"/>
      <c r="BI14" s="148"/>
      <c r="BJ14" s="145"/>
      <c r="BK14" s="148"/>
      <c r="BL14" s="150"/>
      <c r="BM14" s="164"/>
    </row>
    <row r="15" spans="1:65" s="162" customFormat="1" ht="23.4" customHeight="1" x14ac:dyDescent="0.4">
      <c r="A15" s="151" t="s">
        <v>170</v>
      </c>
      <c r="B15" s="152"/>
      <c r="C15" s="153"/>
      <c r="D15" s="154"/>
      <c r="E15" s="152"/>
      <c r="F15" s="155"/>
      <c r="G15" s="154"/>
      <c r="H15" s="152"/>
      <c r="I15" s="155"/>
      <c r="J15" s="154"/>
      <c r="K15" s="156"/>
      <c r="L15" s="157"/>
      <c r="M15" s="153"/>
      <c r="N15" s="154"/>
      <c r="O15" s="156"/>
      <c r="P15" s="157"/>
      <c r="Q15" s="157"/>
      <c r="R15" s="152"/>
      <c r="S15" s="157"/>
      <c r="T15" s="154"/>
      <c r="U15" s="152"/>
      <c r="V15" s="157"/>
      <c r="W15" s="157"/>
      <c r="X15" s="152"/>
      <c r="Y15" s="157"/>
      <c r="Z15" s="157"/>
      <c r="AA15" s="156"/>
      <c r="AB15" s="157"/>
      <c r="AC15" s="153"/>
      <c r="AD15" s="154"/>
      <c r="AE15" s="156"/>
      <c r="AF15" s="157"/>
      <c r="AG15" s="154"/>
      <c r="AH15" s="152"/>
      <c r="AI15" s="157"/>
      <c r="AJ15" s="154"/>
      <c r="AK15" s="152"/>
      <c r="AL15" s="157"/>
      <c r="AM15" s="157"/>
      <c r="AN15" s="156"/>
      <c r="AO15" s="157"/>
      <c r="AP15" s="157"/>
      <c r="AQ15" s="156"/>
      <c r="AR15" s="157"/>
      <c r="AS15" s="157"/>
      <c r="AT15" s="156"/>
      <c r="AU15" s="158"/>
      <c r="AV15" s="159"/>
      <c r="AW15" s="159"/>
      <c r="AX15" s="159"/>
      <c r="AY15" s="160"/>
      <c r="AZ15" s="158"/>
      <c r="BA15" s="161"/>
      <c r="BB15" s="159"/>
      <c r="BC15" s="159"/>
      <c r="BD15" s="159"/>
      <c r="BE15" s="160"/>
      <c r="BF15" s="158"/>
      <c r="BG15" s="158"/>
      <c r="BH15" s="158"/>
      <c r="BI15" s="159"/>
      <c r="BJ15" s="159"/>
      <c r="BK15" s="159"/>
      <c r="BL15" s="161"/>
      <c r="BM15" s="522"/>
    </row>
    <row r="16" spans="1:65" s="130" customFormat="1" ht="23.4" customHeight="1" outlineLevel="1" x14ac:dyDescent="0.35">
      <c r="A16" s="138" t="s">
        <v>171</v>
      </c>
      <c r="B16" s="139"/>
      <c r="C16" s="140"/>
      <c r="D16" s="141"/>
      <c r="E16" s="139"/>
      <c r="F16" s="142"/>
      <c r="G16" s="141"/>
      <c r="H16" s="139"/>
      <c r="I16" s="142"/>
      <c r="J16" s="141"/>
      <c r="K16" s="143"/>
      <c r="L16" s="144"/>
      <c r="M16" s="140"/>
      <c r="N16" s="141"/>
      <c r="O16" s="143"/>
      <c r="P16" s="144"/>
      <c r="Q16" s="145"/>
      <c r="R16" s="139"/>
      <c r="S16" s="145"/>
      <c r="T16" s="141"/>
      <c r="U16" s="139"/>
      <c r="V16" s="145"/>
      <c r="W16" s="145"/>
      <c r="X16" s="139"/>
      <c r="Y16" s="145"/>
      <c r="Z16" s="145"/>
      <c r="AA16" s="143"/>
      <c r="AB16" s="144"/>
      <c r="AC16" s="140"/>
      <c r="AD16" s="141"/>
      <c r="AE16" s="143"/>
      <c r="AF16" s="144"/>
      <c r="AG16" s="141"/>
      <c r="AH16" s="139"/>
      <c r="AI16" s="145"/>
      <c r="AJ16" s="141"/>
      <c r="AK16" s="139"/>
      <c r="AL16" s="145"/>
      <c r="AM16" s="145"/>
      <c r="AN16" s="146"/>
      <c r="AO16" s="145"/>
      <c r="AP16" s="145"/>
      <c r="AQ16" s="143"/>
      <c r="AR16" s="145"/>
      <c r="AS16" s="145"/>
      <c r="AT16" s="143"/>
      <c r="AU16" s="147"/>
      <c r="AV16" s="148"/>
      <c r="AW16" s="145"/>
      <c r="AX16" s="145"/>
      <c r="AY16" s="149"/>
      <c r="AZ16" s="147"/>
      <c r="BA16" s="150"/>
      <c r="BB16" s="148"/>
      <c r="BC16" s="145"/>
      <c r="BD16" s="148"/>
      <c r="BE16" s="149"/>
      <c r="BF16" s="147"/>
      <c r="BG16" s="147"/>
      <c r="BH16" s="147"/>
      <c r="BI16" s="148"/>
      <c r="BJ16" s="145"/>
      <c r="BK16" s="148"/>
      <c r="BL16" s="150"/>
      <c r="BM16" s="164"/>
    </row>
    <row r="17" spans="1:68" s="130" customFormat="1" ht="23.4" customHeight="1" outlineLevel="1" x14ac:dyDescent="0.35">
      <c r="A17" s="138" t="s">
        <v>172</v>
      </c>
      <c r="B17" s="139"/>
      <c r="C17" s="140"/>
      <c r="D17" s="141"/>
      <c r="E17" s="139"/>
      <c r="F17" s="142"/>
      <c r="G17" s="141"/>
      <c r="H17" s="139"/>
      <c r="I17" s="142"/>
      <c r="J17" s="141"/>
      <c r="K17" s="143"/>
      <c r="L17" s="144"/>
      <c r="M17" s="140"/>
      <c r="N17" s="141"/>
      <c r="O17" s="143"/>
      <c r="P17" s="144"/>
      <c r="Q17" s="145"/>
      <c r="R17" s="139"/>
      <c r="S17" s="145"/>
      <c r="T17" s="141"/>
      <c r="U17" s="139"/>
      <c r="V17" s="145"/>
      <c r="W17" s="145"/>
      <c r="X17" s="139"/>
      <c r="Y17" s="145"/>
      <c r="Z17" s="145"/>
      <c r="AA17" s="143"/>
      <c r="AB17" s="144"/>
      <c r="AC17" s="140"/>
      <c r="AD17" s="141"/>
      <c r="AE17" s="143"/>
      <c r="AF17" s="144"/>
      <c r="AG17" s="141"/>
      <c r="AH17" s="139"/>
      <c r="AI17" s="145"/>
      <c r="AJ17" s="141"/>
      <c r="AK17" s="139"/>
      <c r="AL17" s="145"/>
      <c r="AM17" s="145"/>
      <c r="AN17" s="146"/>
      <c r="AO17" s="145"/>
      <c r="AP17" s="145"/>
      <c r="AQ17" s="143"/>
      <c r="AR17" s="145"/>
      <c r="AS17" s="145"/>
      <c r="AT17" s="143"/>
      <c r="AU17" s="147"/>
      <c r="AV17" s="148"/>
      <c r="AW17" s="145"/>
      <c r="AX17" s="145"/>
      <c r="AY17" s="149"/>
      <c r="AZ17" s="147"/>
      <c r="BA17" s="150"/>
      <c r="BB17" s="148"/>
      <c r="BC17" s="145"/>
      <c r="BD17" s="148"/>
      <c r="BE17" s="149"/>
      <c r="BF17" s="147"/>
      <c r="BG17" s="147"/>
      <c r="BH17" s="147"/>
      <c r="BI17" s="148"/>
      <c r="BJ17" s="145"/>
      <c r="BK17" s="148"/>
      <c r="BL17" s="150"/>
      <c r="BM17" s="164"/>
    </row>
    <row r="18" spans="1:68" s="130" customFormat="1" ht="23.4" customHeight="1" outlineLevel="1" x14ac:dyDescent="0.35">
      <c r="A18" s="138" t="s">
        <v>173</v>
      </c>
      <c r="B18" s="139"/>
      <c r="C18" s="140"/>
      <c r="D18" s="141"/>
      <c r="E18" s="139"/>
      <c r="F18" s="142"/>
      <c r="G18" s="141"/>
      <c r="H18" s="139"/>
      <c r="I18" s="142"/>
      <c r="J18" s="141"/>
      <c r="K18" s="143"/>
      <c r="L18" s="144"/>
      <c r="M18" s="140"/>
      <c r="N18" s="141"/>
      <c r="O18" s="143"/>
      <c r="P18" s="144"/>
      <c r="Q18" s="145"/>
      <c r="R18" s="139"/>
      <c r="S18" s="145"/>
      <c r="T18" s="141"/>
      <c r="U18" s="139"/>
      <c r="V18" s="145"/>
      <c r="W18" s="145"/>
      <c r="X18" s="139"/>
      <c r="Y18" s="145"/>
      <c r="Z18" s="145"/>
      <c r="AA18" s="143"/>
      <c r="AB18" s="144"/>
      <c r="AC18" s="140"/>
      <c r="AD18" s="141"/>
      <c r="AE18" s="143"/>
      <c r="AF18" s="144"/>
      <c r="AG18" s="141"/>
      <c r="AH18" s="139"/>
      <c r="AI18" s="145"/>
      <c r="AJ18" s="141"/>
      <c r="AK18" s="139"/>
      <c r="AL18" s="145"/>
      <c r="AM18" s="145"/>
      <c r="AN18" s="146"/>
      <c r="AO18" s="145"/>
      <c r="AP18" s="145"/>
      <c r="AQ18" s="143"/>
      <c r="AR18" s="145"/>
      <c r="AS18" s="145"/>
      <c r="AT18" s="143"/>
      <c r="AU18" s="147"/>
      <c r="AV18" s="148"/>
      <c r="AW18" s="145"/>
      <c r="AX18" s="145"/>
      <c r="AY18" s="149"/>
      <c r="AZ18" s="147"/>
      <c r="BA18" s="150"/>
      <c r="BB18" s="148"/>
      <c r="BC18" s="145"/>
      <c r="BD18" s="148"/>
      <c r="BE18" s="149"/>
      <c r="BF18" s="147"/>
      <c r="BG18" s="147"/>
      <c r="BH18" s="147"/>
      <c r="BI18" s="148"/>
      <c r="BJ18" s="145"/>
      <c r="BK18" s="148"/>
      <c r="BL18" s="150"/>
      <c r="BM18" s="523"/>
    </row>
    <row r="19" spans="1:68" s="162" customFormat="1" ht="23.4" customHeight="1" x14ac:dyDescent="0.4">
      <c r="A19" s="151" t="s">
        <v>174</v>
      </c>
      <c r="B19" s="152"/>
      <c r="C19" s="153"/>
      <c r="D19" s="154"/>
      <c r="E19" s="152"/>
      <c r="F19" s="155"/>
      <c r="G19" s="154"/>
      <c r="H19" s="152"/>
      <c r="I19" s="155"/>
      <c r="J19" s="154"/>
      <c r="K19" s="156"/>
      <c r="L19" s="157"/>
      <c r="M19" s="153"/>
      <c r="N19" s="154"/>
      <c r="O19" s="156"/>
      <c r="P19" s="157"/>
      <c r="Q19" s="157"/>
      <c r="R19" s="152"/>
      <c r="S19" s="157"/>
      <c r="T19" s="154"/>
      <c r="U19" s="152"/>
      <c r="V19" s="157"/>
      <c r="W19" s="157"/>
      <c r="X19" s="152"/>
      <c r="Y19" s="157"/>
      <c r="Z19" s="157"/>
      <c r="AA19" s="156"/>
      <c r="AB19" s="157"/>
      <c r="AC19" s="153"/>
      <c r="AD19" s="154"/>
      <c r="AE19" s="156"/>
      <c r="AF19" s="157"/>
      <c r="AG19" s="154"/>
      <c r="AH19" s="152"/>
      <c r="AI19" s="157"/>
      <c r="AJ19" s="154"/>
      <c r="AK19" s="152"/>
      <c r="AL19" s="157"/>
      <c r="AM19" s="157"/>
      <c r="AN19" s="156"/>
      <c r="AO19" s="157"/>
      <c r="AP19" s="157"/>
      <c r="AQ19" s="156"/>
      <c r="AR19" s="157"/>
      <c r="AS19" s="157"/>
      <c r="AT19" s="156"/>
      <c r="AU19" s="158"/>
      <c r="AV19" s="159"/>
      <c r="AW19" s="159"/>
      <c r="AX19" s="159"/>
      <c r="AY19" s="160"/>
      <c r="AZ19" s="158"/>
      <c r="BA19" s="161"/>
      <c r="BB19" s="159"/>
      <c r="BC19" s="159"/>
      <c r="BD19" s="159"/>
      <c r="BE19" s="160"/>
      <c r="BF19" s="158"/>
      <c r="BG19" s="158"/>
      <c r="BH19" s="158"/>
      <c r="BI19" s="159"/>
      <c r="BJ19" s="159"/>
      <c r="BK19" s="159"/>
      <c r="BL19" s="161"/>
      <c r="BM19" s="522"/>
    </row>
    <row r="20" spans="1:68" s="162" customFormat="1" ht="23.4" customHeight="1" x14ac:dyDescent="0.4">
      <c r="A20" s="151" t="s">
        <v>175</v>
      </c>
      <c r="B20" s="152"/>
      <c r="C20" s="153"/>
      <c r="D20" s="154"/>
      <c r="E20" s="152"/>
      <c r="F20" s="155"/>
      <c r="G20" s="154"/>
      <c r="H20" s="152"/>
      <c r="I20" s="155"/>
      <c r="J20" s="154"/>
      <c r="K20" s="165"/>
      <c r="L20" s="166"/>
      <c r="M20" s="153"/>
      <c r="N20" s="154"/>
      <c r="O20" s="165"/>
      <c r="P20" s="166"/>
      <c r="Q20" s="157"/>
      <c r="R20" s="152"/>
      <c r="S20" s="157"/>
      <c r="T20" s="154"/>
      <c r="U20" s="152"/>
      <c r="V20" s="157"/>
      <c r="W20" s="157"/>
      <c r="X20" s="152"/>
      <c r="Y20" s="157"/>
      <c r="Z20" s="157"/>
      <c r="AA20" s="165"/>
      <c r="AB20" s="166"/>
      <c r="AC20" s="153"/>
      <c r="AD20" s="154"/>
      <c r="AE20" s="165"/>
      <c r="AF20" s="166"/>
      <c r="AG20" s="154"/>
      <c r="AH20" s="152"/>
      <c r="AI20" s="157"/>
      <c r="AJ20" s="154"/>
      <c r="AK20" s="152"/>
      <c r="AL20" s="157"/>
      <c r="AM20" s="157"/>
      <c r="AN20" s="156"/>
      <c r="AO20" s="157"/>
      <c r="AP20" s="157"/>
      <c r="AQ20" s="165"/>
      <c r="AR20" s="157"/>
      <c r="AS20" s="157"/>
      <c r="AT20" s="165"/>
      <c r="AU20" s="158"/>
      <c r="AV20" s="159"/>
      <c r="AW20" s="159"/>
      <c r="AX20" s="159"/>
      <c r="AY20" s="160"/>
      <c r="AZ20" s="158"/>
      <c r="BA20" s="161"/>
      <c r="BB20" s="159"/>
      <c r="BC20" s="159"/>
      <c r="BD20" s="159"/>
      <c r="BE20" s="160"/>
      <c r="BF20" s="158"/>
      <c r="BG20" s="158"/>
      <c r="BH20" s="158"/>
      <c r="BI20" s="159"/>
      <c r="BJ20" s="159"/>
      <c r="BK20" s="159"/>
      <c r="BL20" s="161"/>
      <c r="BM20" s="524"/>
    </row>
    <row r="21" spans="1:68" s="130" customFormat="1" ht="23.4" customHeight="1" x14ac:dyDescent="0.35">
      <c r="A21" s="138" t="s">
        <v>176</v>
      </c>
      <c r="B21" s="139"/>
      <c r="C21" s="140"/>
      <c r="D21" s="141"/>
      <c r="E21" s="139"/>
      <c r="F21" s="142"/>
      <c r="G21" s="141"/>
      <c r="H21" s="139"/>
      <c r="I21" s="142"/>
      <c r="J21" s="141"/>
      <c r="K21" s="143"/>
      <c r="L21" s="144"/>
      <c r="M21" s="140"/>
      <c r="N21" s="141"/>
      <c r="O21" s="143"/>
      <c r="P21" s="144"/>
      <c r="Q21" s="145"/>
      <c r="R21" s="139"/>
      <c r="S21" s="145"/>
      <c r="T21" s="141"/>
      <c r="U21" s="139"/>
      <c r="V21" s="145"/>
      <c r="W21" s="145"/>
      <c r="X21" s="139"/>
      <c r="Y21" s="145"/>
      <c r="Z21" s="145"/>
      <c r="AA21" s="143"/>
      <c r="AB21" s="144"/>
      <c r="AC21" s="140"/>
      <c r="AD21" s="141"/>
      <c r="AE21" s="143"/>
      <c r="AF21" s="144"/>
      <c r="AG21" s="141"/>
      <c r="AH21" s="139"/>
      <c r="AI21" s="145"/>
      <c r="AJ21" s="141"/>
      <c r="AK21" s="139"/>
      <c r="AL21" s="145"/>
      <c r="AM21" s="145"/>
      <c r="AN21" s="146"/>
      <c r="AO21" s="145"/>
      <c r="AP21" s="145"/>
      <c r="AQ21" s="143"/>
      <c r="AR21" s="145"/>
      <c r="AS21" s="145"/>
      <c r="AT21" s="143"/>
      <c r="AU21" s="147"/>
      <c r="AV21" s="148"/>
      <c r="AW21" s="145"/>
      <c r="AX21" s="145"/>
      <c r="AY21" s="149"/>
      <c r="AZ21" s="147"/>
      <c r="BA21" s="150"/>
      <c r="BB21" s="148"/>
      <c r="BC21" s="145"/>
      <c r="BD21" s="148"/>
      <c r="BE21" s="149"/>
      <c r="BF21" s="147"/>
      <c r="BG21" s="147"/>
      <c r="BH21" s="147"/>
      <c r="BI21" s="148"/>
      <c r="BJ21" s="145"/>
      <c r="BK21" s="148"/>
      <c r="BL21" s="150"/>
      <c r="BM21" s="164"/>
      <c r="BO21" s="521"/>
    </row>
    <row r="22" spans="1:68" s="130" customFormat="1" ht="23.4" customHeight="1" x14ac:dyDescent="0.35">
      <c r="A22" s="138" t="s">
        <v>177</v>
      </c>
      <c r="B22" s="139"/>
      <c r="C22" s="140"/>
      <c r="D22" s="141"/>
      <c r="E22" s="139"/>
      <c r="F22" s="142"/>
      <c r="G22" s="141"/>
      <c r="H22" s="139"/>
      <c r="I22" s="142"/>
      <c r="J22" s="141"/>
      <c r="K22" s="143"/>
      <c r="L22" s="144"/>
      <c r="M22" s="140"/>
      <c r="N22" s="141"/>
      <c r="O22" s="143"/>
      <c r="P22" s="144"/>
      <c r="Q22" s="145"/>
      <c r="R22" s="139"/>
      <c r="S22" s="145"/>
      <c r="T22" s="141"/>
      <c r="U22" s="139"/>
      <c r="V22" s="145"/>
      <c r="W22" s="145"/>
      <c r="X22" s="139"/>
      <c r="Y22" s="145"/>
      <c r="Z22" s="145"/>
      <c r="AA22" s="143"/>
      <c r="AB22" s="144"/>
      <c r="AC22" s="140"/>
      <c r="AD22" s="141"/>
      <c r="AE22" s="143"/>
      <c r="AF22" s="144"/>
      <c r="AG22" s="141"/>
      <c r="AH22" s="139"/>
      <c r="AI22" s="145"/>
      <c r="AJ22" s="141"/>
      <c r="AK22" s="139"/>
      <c r="AL22" s="145"/>
      <c r="AM22" s="145"/>
      <c r="AN22" s="146"/>
      <c r="AO22" s="145"/>
      <c r="AP22" s="145"/>
      <c r="AQ22" s="143"/>
      <c r="AR22" s="145"/>
      <c r="AS22" s="145"/>
      <c r="AT22" s="143"/>
      <c r="AU22" s="147"/>
      <c r="AV22" s="148"/>
      <c r="AW22" s="145"/>
      <c r="AX22" s="145"/>
      <c r="AY22" s="149"/>
      <c r="AZ22" s="147"/>
      <c r="BA22" s="150"/>
      <c r="BB22" s="148"/>
      <c r="BC22" s="145"/>
      <c r="BD22" s="148"/>
      <c r="BE22" s="149"/>
      <c r="BF22" s="147"/>
      <c r="BG22" s="147"/>
      <c r="BH22" s="147"/>
      <c r="BI22" s="148"/>
      <c r="BJ22" s="145"/>
      <c r="BK22" s="148"/>
      <c r="BL22" s="150"/>
      <c r="BM22" s="164"/>
    </row>
    <row r="23" spans="1:68" s="162" customFormat="1" ht="23.4" customHeight="1" x14ac:dyDescent="0.4">
      <c r="A23" s="151" t="s">
        <v>178</v>
      </c>
      <c r="B23" s="152"/>
      <c r="C23" s="152"/>
      <c r="D23" s="152"/>
      <c r="E23" s="152"/>
      <c r="F23" s="155"/>
      <c r="G23" s="154"/>
      <c r="H23" s="152"/>
      <c r="I23" s="155"/>
      <c r="J23" s="154"/>
      <c r="K23" s="152"/>
      <c r="L23" s="157"/>
      <c r="M23" s="153"/>
      <c r="N23" s="154"/>
      <c r="O23" s="152"/>
      <c r="P23" s="152"/>
      <c r="Q23" s="157"/>
      <c r="R23" s="152"/>
      <c r="S23" s="152"/>
      <c r="T23" s="154"/>
      <c r="U23" s="152"/>
      <c r="V23" s="152"/>
      <c r="W23" s="157"/>
      <c r="X23" s="152"/>
      <c r="Y23" s="157"/>
      <c r="Z23" s="157"/>
      <c r="AA23" s="156"/>
      <c r="AB23" s="157"/>
      <c r="AC23" s="153"/>
      <c r="AD23" s="154"/>
      <c r="AE23" s="156"/>
      <c r="AF23" s="157"/>
      <c r="AG23" s="154"/>
      <c r="AH23" s="152"/>
      <c r="AI23" s="157"/>
      <c r="AJ23" s="154"/>
      <c r="AK23" s="152"/>
      <c r="AL23" s="157"/>
      <c r="AM23" s="157"/>
      <c r="AN23" s="156"/>
      <c r="AO23" s="157"/>
      <c r="AP23" s="157"/>
      <c r="AQ23" s="156"/>
      <c r="AR23" s="157"/>
      <c r="AS23" s="157"/>
      <c r="AT23" s="156"/>
      <c r="AU23" s="158"/>
      <c r="AV23" s="159"/>
      <c r="AW23" s="159"/>
      <c r="AX23" s="159"/>
      <c r="AY23" s="160"/>
      <c r="AZ23" s="158"/>
      <c r="BA23" s="161"/>
      <c r="BB23" s="159"/>
      <c r="BC23" s="159"/>
      <c r="BD23" s="159"/>
      <c r="BE23" s="160"/>
      <c r="BF23" s="158"/>
      <c r="BG23" s="158"/>
      <c r="BH23" s="158"/>
      <c r="BI23" s="159"/>
      <c r="BJ23" s="159"/>
      <c r="BK23" s="159"/>
      <c r="BL23" s="161"/>
      <c r="BM23" s="522"/>
    </row>
    <row r="24" spans="1:68" s="130" customFormat="1" ht="23.4" customHeight="1" x14ac:dyDescent="0.35">
      <c r="A24" s="138" t="s">
        <v>179</v>
      </c>
      <c r="B24" s="139"/>
      <c r="C24" s="140"/>
      <c r="D24" s="141"/>
      <c r="E24" s="139"/>
      <c r="F24" s="142"/>
      <c r="G24" s="141"/>
      <c r="H24" s="139"/>
      <c r="I24" s="142"/>
      <c r="J24" s="141"/>
      <c r="K24" s="143"/>
      <c r="L24" s="144"/>
      <c r="M24" s="140"/>
      <c r="N24" s="141"/>
      <c r="O24" s="143"/>
      <c r="P24" s="144"/>
      <c r="Q24" s="145"/>
      <c r="R24" s="139"/>
      <c r="S24" s="145"/>
      <c r="T24" s="141"/>
      <c r="U24" s="139"/>
      <c r="V24" s="145"/>
      <c r="W24" s="145"/>
      <c r="X24" s="139"/>
      <c r="Y24" s="145"/>
      <c r="Z24" s="145"/>
      <c r="AA24" s="143"/>
      <c r="AB24" s="144"/>
      <c r="AC24" s="140"/>
      <c r="AD24" s="141"/>
      <c r="AE24" s="143"/>
      <c r="AF24" s="144"/>
      <c r="AG24" s="141"/>
      <c r="AH24" s="139"/>
      <c r="AI24" s="145"/>
      <c r="AJ24" s="141"/>
      <c r="AK24" s="139"/>
      <c r="AL24" s="145"/>
      <c r="AM24" s="145"/>
      <c r="AN24" s="146"/>
      <c r="AO24" s="145"/>
      <c r="AP24" s="145"/>
      <c r="AQ24" s="143"/>
      <c r="AR24" s="145"/>
      <c r="AS24" s="145"/>
      <c r="AT24" s="143"/>
      <c r="AU24" s="147"/>
      <c r="AV24" s="148"/>
      <c r="AW24" s="145"/>
      <c r="AX24" s="145"/>
      <c r="AY24" s="149"/>
      <c r="AZ24" s="147"/>
      <c r="BA24" s="150"/>
      <c r="BB24" s="148"/>
      <c r="BC24" s="145"/>
      <c r="BD24" s="148"/>
      <c r="BE24" s="149"/>
      <c r="BF24" s="147"/>
      <c r="BG24" s="147"/>
      <c r="BH24" s="147"/>
      <c r="BI24" s="148"/>
      <c r="BJ24" s="145"/>
      <c r="BK24" s="148"/>
      <c r="BL24" s="150"/>
      <c r="BM24" s="164"/>
    </row>
    <row r="25" spans="1:68" s="130" customFormat="1" ht="23.4" customHeight="1" x14ac:dyDescent="0.35">
      <c r="A25" s="138" t="s">
        <v>180</v>
      </c>
      <c r="B25" s="139"/>
      <c r="C25" s="140"/>
      <c r="D25" s="141"/>
      <c r="E25" s="139"/>
      <c r="F25" s="142"/>
      <c r="G25" s="141"/>
      <c r="H25" s="139"/>
      <c r="I25" s="142"/>
      <c r="J25" s="141"/>
      <c r="K25" s="143"/>
      <c r="L25" s="144"/>
      <c r="M25" s="140"/>
      <c r="N25" s="141"/>
      <c r="O25" s="143"/>
      <c r="P25" s="144"/>
      <c r="Q25" s="145"/>
      <c r="R25" s="139"/>
      <c r="S25" s="145"/>
      <c r="T25" s="141"/>
      <c r="U25" s="139"/>
      <c r="V25" s="145"/>
      <c r="W25" s="145"/>
      <c r="X25" s="139"/>
      <c r="Y25" s="145"/>
      <c r="Z25" s="145"/>
      <c r="AA25" s="143"/>
      <c r="AB25" s="144"/>
      <c r="AC25" s="140"/>
      <c r="AD25" s="141"/>
      <c r="AE25" s="143"/>
      <c r="AF25" s="144"/>
      <c r="AG25" s="141"/>
      <c r="AH25" s="139"/>
      <c r="AI25" s="145"/>
      <c r="AJ25" s="141"/>
      <c r="AK25" s="139"/>
      <c r="AL25" s="145"/>
      <c r="AM25" s="145"/>
      <c r="AN25" s="146"/>
      <c r="AO25" s="145"/>
      <c r="AP25" s="145"/>
      <c r="AQ25" s="143"/>
      <c r="AR25" s="145"/>
      <c r="AS25" s="145"/>
      <c r="AT25" s="143"/>
      <c r="AU25" s="147"/>
      <c r="AV25" s="148"/>
      <c r="AW25" s="145"/>
      <c r="AX25" s="145"/>
      <c r="AY25" s="149"/>
      <c r="AZ25" s="147"/>
      <c r="BA25" s="150"/>
      <c r="BB25" s="148"/>
      <c r="BC25" s="145"/>
      <c r="BD25" s="148"/>
      <c r="BE25" s="149"/>
      <c r="BF25" s="147"/>
      <c r="BG25" s="147"/>
      <c r="BH25" s="147"/>
      <c r="BI25" s="148"/>
      <c r="BJ25" s="145"/>
      <c r="BK25" s="148"/>
      <c r="BL25" s="150"/>
      <c r="BM25" s="164"/>
      <c r="BN25" s="529"/>
    </row>
    <row r="26" spans="1:68" s="130" customFormat="1" ht="23.4" customHeight="1" x14ac:dyDescent="0.35">
      <c r="A26" s="138" t="s">
        <v>181</v>
      </c>
      <c r="B26" s="139"/>
      <c r="C26" s="140"/>
      <c r="D26" s="141"/>
      <c r="E26" s="139"/>
      <c r="F26" s="142"/>
      <c r="G26" s="141"/>
      <c r="H26" s="139"/>
      <c r="I26" s="142"/>
      <c r="J26" s="141"/>
      <c r="K26" s="143"/>
      <c r="L26" s="144"/>
      <c r="M26" s="140"/>
      <c r="N26" s="141"/>
      <c r="O26" s="143"/>
      <c r="P26" s="144"/>
      <c r="Q26" s="145"/>
      <c r="R26" s="139"/>
      <c r="S26" s="145"/>
      <c r="T26" s="141"/>
      <c r="U26" s="139"/>
      <c r="V26" s="145"/>
      <c r="W26" s="145"/>
      <c r="X26" s="139"/>
      <c r="Y26" s="145"/>
      <c r="Z26" s="145"/>
      <c r="AA26" s="143"/>
      <c r="AB26" s="144"/>
      <c r="AC26" s="140"/>
      <c r="AD26" s="141"/>
      <c r="AE26" s="143"/>
      <c r="AF26" s="144"/>
      <c r="AG26" s="141"/>
      <c r="AH26" s="139"/>
      <c r="AI26" s="145"/>
      <c r="AJ26" s="141"/>
      <c r="AK26" s="139"/>
      <c r="AL26" s="145"/>
      <c r="AM26" s="145"/>
      <c r="AN26" s="146"/>
      <c r="AO26" s="145"/>
      <c r="AP26" s="145"/>
      <c r="AQ26" s="143"/>
      <c r="AR26" s="145"/>
      <c r="AS26" s="145"/>
      <c r="AT26" s="143"/>
      <c r="AU26" s="147"/>
      <c r="AV26" s="148"/>
      <c r="AW26" s="145"/>
      <c r="AX26" s="145"/>
      <c r="AY26" s="149"/>
      <c r="AZ26" s="147"/>
      <c r="BA26" s="150"/>
      <c r="BB26" s="148"/>
      <c r="BC26" s="145"/>
      <c r="BD26" s="148"/>
      <c r="BE26" s="149"/>
      <c r="BF26" s="147"/>
      <c r="BG26" s="147"/>
      <c r="BH26" s="147"/>
      <c r="BI26" s="148"/>
      <c r="BJ26" s="145"/>
      <c r="BK26" s="148"/>
      <c r="BL26" s="150"/>
      <c r="BM26" s="164"/>
    </row>
    <row r="27" spans="1:68" s="130" customFormat="1" ht="23.4" customHeight="1" x14ac:dyDescent="0.35">
      <c r="A27" s="138" t="s">
        <v>182</v>
      </c>
      <c r="B27" s="139"/>
      <c r="C27" s="140"/>
      <c r="D27" s="141"/>
      <c r="E27" s="139"/>
      <c r="F27" s="142"/>
      <c r="G27" s="141"/>
      <c r="H27" s="139"/>
      <c r="I27" s="142"/>
      <c r="J27" s="141"/>
      <c r="K27" s="143"/>
      <c r="L27" s="144"/>
      <c r="M27" s="140"/>
      <c r="N27" s="141"/>
      <c r="O27" s="143"/>
      <c r="P27" s="144"/>
      <c r="Q27" s="145"/>
      <c r="R27" s="139"/>
      <c r="S27" s="145"/>
      <c r="T27" s="141"/>
      <c r="U27" s="139"/>
      <c r="V27" s="145"/>
      <c r="W27" s="145"/>
      <c r="X27" s="139"/>
      <c r="Y27" s="145"/>
      <c r="Z27" s="145"/>
      <c r="AA27" s="143"/>
      <c r="AB27" s="144"/>
      <c r="AC27" s="140"/>
      <c r="AD27" s="141"/>
      <c r="AE27" s="143"/>
      <c r="AF27" s="144"/>
      <c r="AG27" s="141"/>
      <c r="AH27" s="139"/>
      <c r="AI27" s="145"/>
      <c r="AJ27" s="141"/>
      <c r="AK27" s="139"/>
      <c r="AL27" s="145"/>
      <c r="AM27" s="145"/>
      <c r="AN27" s="146"/>
      <c r="AO27" s="145"/>
      <c r="AP27" s="145"/>
      <c r="AQ27" s="143"/>
      <c r="AR27" s="145"/>
      <c r="AS27" s="145"/>
      <c r="AT27" s="143"/>
      <c r="AU27" s="147"/>
      <c r="AV27" s="148"/>
      <c r="AW27" s="145"/>
      <c r="AX27" s="145"/>
      <c r="AY27" s="149"/>
      <c r="AZ27" s="147"/>
      <c r="BA27" s="150"/>
      <c r="BB27" s="148"/>
      <c r="BC27" s="145"/>
      <c r="BD27" s="148"/>
      <c r="BE27" s="149"/>
      <c r="BF27" s="147"/>
      <c r="BG27" s="147"/>
      <c r="BH27" s="147"/>
      <c r="BI27" s="148"/>
      <c r="BJ27" s="145"/>
      <c r="BK27" s="148"/>
      <c r="BL27" s="150"/>
      <c r="BM27" s="164"/>
    </row>
    <row r="28" spans="1:68" s="130" customFormat="1" ht="23.4" customHeight="1" x14ac:dyDescent="0.35">
      <c r="A28" s="138" t="s">
        <v>183</v>
      </c>
      <c r="B28" s="139"/>
      <c r="C28" s="140"/>
      <c r="D28" s="141"/>
      <c r="E28" s="139"/>
      <c r="F28" s="142"/>
      <c r="G28" s="141"/>
      <c r="H28" s="139"/>
      <c r="I28" s="142"/>
      <c r="J28" s="141"/>
      <c r="K28" s="143"/>
      <c r="L28" s="144"/>
      <c r="M28" s="140"/>
      <c r="N28" s="141"/>
      <c r="O28" s="143"/>
      <c r="P28" s="144"/>
      <c r="Q28" s="145"/>
      <c r="R28" s="139"/>
      <c r="S28" s="145"/>
      <c r="T28" s="141"/>
      <c r="U28" s="139"/>
      <c r="V28" s="145"/>
      <c r="W28" s="145"/>
      <c r="X28" s="139"/>
      <c r="Y28" s="145"/>
      <c r="Z28" s="145"/>
      <c r="AA28" s="143"/>
      <c r="AB28" s="144"/>
      <c r="AC28" s="140"/>
      <c r="AD28" s="141"/>
      <c r="AE28" s="143"/>
      <c r="AF28" s="144"/>
      <c r="AG28" s="141"/>
      <c r="AH28" s="139"/>
      <c r="AI28" s="145"/>
      <c r="AJ28" s="141"/>
      <c r="AK28" s="139"/>
      <c r="AL28" s="145"/>
      <c r="AM28" s="145"/>
      <c r="AN28" s="146"/>
      <c r="AO28" s="145"/>
      <c r="AP28" s="145"/>
      <c r="AQ28" s="143"/>
      <c r="AR28" s="145"/>
      <c r="AS28" s="145"/>
      <c r="AT28" s="143"/>
      <c r="AU28" s="147"/>
      <c r="AV28" s="148"/>
      <c r="AW28" s="145"/>
      <c r="AX28" s="145"/>
      <c r="AY28" s="149"/>
      <c r="AZ28" s="147"/>
      <c r="BA28" s="150"/>
      <c r="BB28" s="148"/>
      <c r="BC28" s="145"/>
      <c r="BD28" s="148"/>
      <c r="BE28" s="149"/>
      <c r="BF28" s="147"/>
      <c r="BG28" s="147"/>
      <c r="BH28" s="147"/>
      <c r="BI28" s="148"/>
      <c r="BJ28" s="145"/>
      <c r="BK28" s="148"/>
      <c r="BL28" s="150"/>
      <c r="BM28" s="164"/>
    </row>
    <row r="29" spans="1:68" s="130" customFormat="1" ht="23.4" customHeight="1" x14ac:dyDescent="0.35">
      <c r="A29" s="138" t="s">
        <v>184</v>
      </c>
      <c r="B29" s="139"/>
      <c r="C29" s="140"/>
      <c r="D29" s="141"/>
      <c r="E29" s="139"/>
      <c r="F29" s="142"/>
      <c r="G29" s="141"/>
      <c r="H29" s="139"/>
      <c r="I29" s="142"/>
      <c r="J29" s="141"/>
      <c r="K29" s="143"/>
      <c r="L29" s="144"/>
      <c r="M29" s="140"/>
      <c r="N29" s="141"/>
      <c r="O29" s="143"/>
      <c r="P29" s="144"/>
      <c r="Q29" s="145"/>
      <c r="R29" s="139"/>
      <c r="S29" s="145"/>
      <c r="T29" s="141"/>
      <c r="U29" s="139"/>
      <c r="V29" s="145"/>
      <c r="W29" s="145"/>
      <c r="X29" s="139"/>
      <c r="Y29" s="145"/>
      <c r="Z29" s="145"/>
      <c r="AA29" s="143"/>
      <c r="AB29" s="144"/>
      <c r="AC29" s="140"/>
      <c r="AD29" s="141"/>
      <c r="AE29" s="143"/>
      <c r="AF29" s="144"/>
      <c r="AG29" s="141"/>
      <c r="AH29" s="139"/>
      <c r="AI29" s="145"/>
      <c r="AJ29" s="141"/>
      <c r="AK29" s="139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8"/>
      <c r="AY29" s="145"/>
      <c r="AZ29" s="145"/>
      <c r="BA29" s="145"/>
      <c r="BB29" s="145"/>
      <c r="BC29" s="145"/>
      <c r="BD29" s="148"/>
      <c r="BE29" s="149"/>
      <c r="BF29" s="147"/>
      <c r="BG29" s="147"/>
      <c r="BH29" s="147"/>
      <c r="BI29" s="148"/>
      <c r="BJ29" s="145"/>
      <c r="BK29" s="148"/>
      <c r="BL29" s="150"/>
      <c r="BM29" s="523"/>
    </row>
    <row r="30" spans="1:68" s="162" customFormat="1" ht="20.100000000000001" customHeight="1" x14ac:dyDescent="0.4">
      <c r="A30" s="151" t="s">
        <v>185</v>
      </c>
      <c r="B30" s="167"/>
      <c r="C30" s="167"/>
      <c r="D30" s="167"/>
      <c r="E30" s="167"/>
      <c r="F30" s="168"/>
      <c r="G30" s="167"/>
      <c r="H30" s="167"/>
      <c r="I30" s="168"/>
      <c r="J30" s="169"/>
      <c r="K30" s="167"/>
      <c r="L30" s="170"/>
      <c r="M30" s="171"/>
      <c r="N30" s="169"/>
      <c r="O30" s="167"/>
      <c r="P30" s="167"/>
      <c r="Q30" s="170"/>
      <c r="R30" s="167"/>
      <c r="S30" s="170"/>
      <c r="T30" s="169"/>
      <c r="U30" s="167"/>
      <c r="V30" s="170"/>
      <c r="W30" s="170"/>
      <c r="X30" s="167"/>
      <c r="Y30" s="170"/>
      <c r="Z30" s="170"/>
      <c r="AA30" s="172"/>
      <c r="AB30" s="170"/>
      <c r="AC30" s="171"/>
      <c r="AD30" s="169"/>
      <c r="AE30" s="172"/>
      <c r="AF30" s="170"/>
      <c r="AG30" s="169"/>
      <c r="AH30" s="167"/>
      <c r="AI30" s="170"/>
      <c r="AJ30" s="169"/>
      <c r="AK30" s="173"/>
      <c r="AL30" s="174"/>
      <c r="AM30" s="175"/>
      <c r="AN30" s="176"/>
      <c r="AO30" s="174"/>
      <c r="AP30" s="175"/>
      <c r="AQ30" s="176"/>
      <c r="AR30" s="174"/>
      <c r="AS30" s="175"/>
      <c r="AT30" s="176"/>
      <c r="AU30" s="174"/>
      <c r="AV30" s="175"/>
      <c r="AW30" s="175"/>
      <c r="AX30" s="538"/>
      <c r="AY30" s="176"/>
      <c r="AZ30" s="174"/>
      <c r="BA30" s="161"/>
      <c r="BB30" s="175"/>
      <c r="BC30" s="175"/>
      <c r="BD30" s="538"/>
      <c r="BE30" s="176"/>
      <c r="BF30" s="177"/>
      <c r="BG30" s="177"/>
      <c r="BH30" s="174"/>
      <c r="BI30" s="175"/>
      <c r="BJ30" s="175"/>
      <c r="BK30" s="538"/>
      <c r="BL30" s="161"/>
      <c r="BM30" s="522"/>
      <c r="BP30" s="540"/>
    </row>
    <row r="31" spans="1:68" s="130" customFormat="1" ht="19.5" customHeight="1" x14ac:dyDescent="0.35">
      <c r="A31" s="178" t="s">
        <v>186</v>
      </c>
      <c r="B31" s="139"/>
      <c r="C31" s="140"/>
      <c r="D31" s="141"/>
      <c r="E31" s="139"/>
      <c r="F31" s="142"/>
      <c r="G31" s="141"/>
      <c r="H31" s="139"/>
      <c r="I31" s="142"/>
      <c r="J31" s="141"/>
      <c r="K31" s="143"/>
      <c r="L31" s="144"/>
      <c r="M31" s="140"/>
      <c r="N31" s="141"/>
      <c r="O31" s="143"/>
      <c r="P31" s="144"/>
      <c r="Q31" s="145"/>
      <c r="R31" s="139"/>
      <c r="S31" s="145"/>
      <c r="T31" s="141"/>
      <c r="U31" s="139"/>
      <c r="V31" s="145"/>
      <c r="W31" s="145"/>
      <c r="X31" s="139"/>
      <c r="Y31" s="145"/>
      <c r="Z31" s="145"/>
      <c r="AA31" s="143"/>
      <c r="AB31" s="144"/>
      <c r="AC31" s="140"/>
      <c r="AD31" s="141"/>
      <c r="AE31" s="143"/>
      <c r="AF31" s="144"/>
      <c r="AG31" s="141"/>
      <c r="AH31" s="139"/>
      <c r="AI31" s="145"/>
      <c r="AJ31" s="141"/>
      <c r="AK31" s="139"/>
      <c r="AL31" s="145"/>
      <c r="AM31" s="145"/>
      <c r="AN31" s="146"/>
      <c r="AO31" s="145"/>
      <c r="AP31" s="145"/>
      <c r="AQ31" s="143"/>
      <c r="AR31" s="145"/>
      <c r="AS31" s="145"/>
      <c r="AT31" s="143"/>
      <c r="AU31" s="147"/>
      <c r="AV31" s="145"/>
      <c r="AW31" s="145"/>
      <c r="AX31" s="145"/>
      <c r="AY31" s="149"/>
      <c r="AZ31" s="147"/>
      <c r="BA31" s="150"/>
      <c r="BB31" s="148"/>
      <c r="BC31" s="145"/>
      <c r="BD31" s="148"/>
      <c r="BE31" s="149"/>
      <c r="BF31" s="147"/>
      <c r="BG31" s="147"/>
      <c r="BH31" s="147"/>
      <c r="BI31" s="148"/>
      <c r="BJ31" s="145"/>
      <c r="BK31" s="148"/>
      <c r="BL31" s="150"/>
      <c r="BM31" s="164"/>
    </row>
    <row r="32" spans="1:68" s="130" customFormat="1" ht="20.100000000000001" customHeight="1" x14ac:dyDescent="0.35">
      <c r="A32" s="178" t="s">
        <v>187</v>
      </c>
      <c r="B32" s="139"/>
      <c r="C32" s="140"/>
      <c r="D32" s="141"/>
      <c r="E32" s="139"/>
      <c r="F32" s="142"/>
      <c r="G32" s="141"/>
      <c r="H32" s="139"/>
      <c r="I32" s="142"/>
      <c r="J32" s="141"/>
      <c r="K32" s="143"/>
      <c r="L32" s="144"/>
      <c r="M32" s="140"/>
      <c r="N32" s="141"/>
      <c r="O32" s="143"/>
      <c r="P32" s="144"/>
      <c r="Q32" s="145"/>
      <c r="R32" s="139"/>
      <c r="S32" s="145"/>
      <c r="T32" s="141"/>
      <c r="U32" s="139"/>
      <c r="V32" s="145"/>
      <c r="W32" s="145"/>
      <c r="X32" s="139"/>
      <c r="Y32" s="145"/>
      <c r="Z32" s="145"/>
      <c r="AA32" s="143"/>
      <c r="AB32" s="144"/>
      <c r="AC32" s="140"/>
      <c r="AD32" s="141"/>
      <c r="AE32" s="143"/>
      <c r="AF32" s="144"/>
      <c r="AG32" s="141"/>
      <c r="AH32" s="139"/>
      <c r="AI32" s="145"/>
      <c r="AJ32" s="141"/>
      <c r="AK32" s="139"/>
      <c r="AL32" s="145"/>
      <c r="AM32" s="145"/>
      <c r="AN32" s="146"/>
      <c r="AO32" s="145"/>
      <c r="AP32" s="145"/>
      <c r="AQ32" s="143"/>
      <c r="AR32" s="145"/>
      <c r="AS32" s="145"/>
      <c r="AT32" s="143"/>
      <c r="AU32" s="147"/>
      <c r="AV32" s="148"/>
      <c r="AW32" s="145"/>
      <c r="AX32" s="145"/>
      <c r="AY32" s="149"/>
      <c r="AZ32" s="147"/>
      <c r="BA32" s="150"/>
      <c r="BB32" s="148"/>
      <c r="BC32" s="145"/>
      <c r="BD32" s="148"/>
      <c r="BE32" s="149"/>
      <c r="BF32" s="147"/>
      <c r="BG32" s="147"/>
      <c r="BH32" s="147"/>
      <c r="BI32" s="148"/>
      <c r="BJ32" s="145"/>
      <c r="BK32" s="148"/>
      <c r="BL32" s="150"/>
      <c r="BM32" s="164"/>
    </row>
    <row r="33" spans="1:65" s="130" customFormat="1" ht="20.100000000000001" customHeight="1" x14ac:dyDescent="0.35">
      <c r="A33" s="178" t="s">
        <v>18</v>
      </c>
      <c r="B33" s="139"/>
      <c r="C33" s="140"/>
      <c r="D33" s="141"/>
      <c r="E33" s="139"/>
      <c r="F33" s="142"/>
      <c r="G33" s="141"/>
      <c r="H33" s="139"/>
      <c r="I33" s="142"/>
      <c r="J33" s="141"/>
      <c r="K33" s="143"/>
      <c r="L33" s="144"/>
      <c r="M33" s="140"/>
      <c r="N33" s="141"/>
      <c r="O33" s="143"/>
      <c r="P33" s="144"/>
      <c r="Q33" s="145"/>
      <c r="R33" s="139"/>
      <c r="S33" s="145"/>
      <c r="T33" s="141"/>
      <c r="U33" s="139"/>
      <c r="V33" s="145"/>
      <c r="W33" s="145"/>
      <c r="X33" s="139"/>
      <c r="Y33" s="145"/>
      <c r="Z33" s="145"/>
      <c r="AA33" s="143"/>
      <c r="AB33" s="144"/>
      <c r="AC33" s="140"/>
      <c r="AD33" s="141"/>
      <c r="AE33" s="143"/>
      <c r="AF33" s="144"/>
      <c r="AG33" s="141"/>
      <c r="AH33" s="139"/>
      <c r="AI33" s="145"/>
      <c r="AJ33" s="141"/>
      <c r="AK33" s="139"/>
      <c r="AL33" s="145"/>
      <c r="AM33" s="145"/>
      <c r="AN33" s="146"/>
      <c r="AO33" s="145"/>
      <c r="AP33" s="145"/>
      <c r="AQ33" s="143"/>
      <c r="AR33" s="145"/>
      <c r="AS33" s="145"/>
      <c r="AT33" s="143"/>
      <c r="AU33" s="147"/>
      <c r="AV33" s="148"/>
      <c r="AW33" s="145"/>
      <c r="AX33" s="145"/>
      <c r="AY33" s="149"/>
      <c r="AZ33" s="147"/>
      <c r="BA33" s="150"/>
      <c r="BB33" s="148"/>
      <c r="BC33" s="145"/>
      <c r="BD33" s="148"/>
      <c r="BE33" s="149"/>
      <c r="BF33" s="147"/>
      <c r="BG33" s="147"/>
      <c r="BH33" s="147"/>
      <c r="BI33" s="148"/>
      <c r="BJ33" s="145"/>
      <c r="BK33" s="148"/>
      <c r="BL33" s="150"/>
      <c r="BM33" s="164"/>
    </row>
    <row r="34" spans="1:65" s="130" customFormat="1" ht="20.100000000000001" customHeight="1" x14ac:dyDescent="0.35">
      <c r="A34" s="151" t="s">
        <v>188</v>
      </c>
      <c r="B34" s="179"/>
      <c r="C34" s="180"/>
      <c r="D34" s="181"/>
      <c r="E34" s="179"/>
      <c r="F34" s="182"/>
      <c r="G34" s="181"/>
      <c r="H34" s="179"/>
      <c r="I34" s="182"/>
      <c r="J34" s="181"/>
      <c r="K34" s="183"/>
      <c r="L34" s="184"/>
      <c r="M34" s="180"/>
      <c r="N34" s="181"/>
      <c r="O34" s="183"/>
      <c r="P34" s="184"/>
      <c r="Q34" s="185"/>
      <c r="R34" s="179"/>
      <c r="S34" s="185"/>
      <c r="T34" s="181"/>
      <c r="U34" s="179"/>
      <c r="V34" s="185"/>
      <c r="W34" s="185"/>
      <c r="X34" s="179"/>
      <c r="Y34" s="185"/>
      <c r="Z34" s="185"/>
      <c r="AA34" s="183"/>
      <c r="AB34" s="184"/>
      <c r="AC34" s="180"/>
      <c r="AD34" s="181"/>
      <c r="AE34" s="183"/>
      <c r="AF34" s="184"/>
      <c r="AG34" s="181"/>
      <c r="AH34" s="179"/>
      <c r="AI34" s="185"/>
      <c r="AJ34" s="181"/>
      <c r="AK34" s="173"/>
      <c r="AL34" s="174"/>
      <c r="AM34" s="175" t="e">
        <f t="shared" ref="AM33:AM34" si="1">(AL34/AK34)*10000/12</f>
        <v>#DIV/0!</v>
      </c>
      <c r="AN34" s="173"/>
      <c r="AO34" s="174"/>
      <c r="AP34" s="175"/>
      <c r="AQ34" s="173"/>
      <c r="AR34" s="174"/>
      <c r="AS34" s="175"/>
      <c r="AT34" s="173"/>
      <c r="AU34" s="174"/>
      <c r="AV34" s="175"/>
      <c r="AW34" s="175"/>
      <c r="AX34" s="538"/>
      <c r="AY34" s="173"/>
      <c r="AZ34" s="174"/>
      <c r="BA34" s="161"/>
      <c r="BB34" s="175"/>
      <c r="BC34" s="175"/>
      <c r="BD34" s="538"/>
      <c r="BE34" s="173"/>
      <c r="BF34" s="185"/>
      <c r="BG34" s="185"/>
      <c r="BH34" s="174"/>
      <c r="BI34" s="175"/>
      <c r="BJ34" s="175"/>
      <c r="BK34" s="538"/>
      <c r="BL34" s="161"/>
      <c r="BM34" s="524"/>
    </row>
    <row r="35" spans="1:65" s="197" customFormat="1" ht="20.100000000000001" customHeight="1" x14ac:dyDescent="0.35">
      <c r="A35" s="186" t="s">
        <v>189</v>
      </c>
      <c r="B35" s="187">
        <f>B30+B23+B20+B19+B15+B12+B9</f>
        <v>0</v>
      </c>
      <c r="C35" s="188">
        <f>SUM(C24:C32,C20:C21,C16:C18,C13:C14,C10:C11,C4:C8)</f>
        <v>0</v>
      </c>
      <c r="D35" s="189" t="e">
        <f>(C35/B35)/12</f>
        <v>#DIV/0!</v>
      </c>
      <c r="E35" s="187">
        <f>E30+E23+E20+E19+E15+E12+E9</f>
        <v>0</v>
      </c>
      <c r="F35" s="190">
        <f>F30+F23+F20+F19+F15+F12+F9</f>
        <v>0</v>
      </c>
      <c r="G35" s="187">
        <f>G30+G23+G20+G19+G15+G12+G9</f>
        <v>0</v>
      </c>
      <c r="H35" s="187">
        <f>H30+H23</f>
        <v>0</v>
      </c>
      <c r="I35" s="190">
        <f>I30+I23+I20+I19+I15+I12+I9</f>
        <v>0</v>
      </c>
      <c r="J35" s="189">
        <f>J30+J23+J20+J19+J15+J12+J9</f>
        <v>0</v>
      </c>
      <c r="K35" s="187">
        <f>K30+K23+K20+K19+K15+K12+K9</f>
        <v>0</v>
      </c>
      <c r="L35" s="177">
        <f>L30+L23+L20+L19+L15+L12+L9</f>
        <v>0</v>
      </c>
      <c r="M35" s="188" t="e">
        <f t="shared" ref="M4:M35" si="2">L35/I35</f>
        <v>#DIV/0!</v>
      </c>
      <c r="N35" s="189">
        <f>N30+N23+N20+N19+N15+N12+N9</f>
        <v>0</v>
      </c>
      <c r="O35" s="187">
        <f>O30+O23+O20+O19+O15+O12+O9</f>
        <v>0</v>
      </c>
      <c r="P35" s="187">
        <f>P30+P23+P20+P19+P15+P12+P9</f>
        <v>0</v>
      </c>
      <c r="Q35" s="177" t="e">
        <f t="shared" ref="Q4:Q35" si="3">P35/O35</f>
        <v>#DIV/0!</v>
      </c>
      <c r="R35" s="187">
        <f t="shared" ref="R35:AB35" si="4">R30+R23+R20+R19+R15+R12+R9</f>
        <v>0</v>
      </c>
      <c r="S35" s="187">
        <f t="shared" si="4"/>
        <v>0</v>
      </c>
      <c r="T35" s="189">
        <f t="shared" si="4"/>
        <v>0</v>
      </c>
      <c r="U35" s="187">
        <f t="shared" si="4"/>
        <v>0</v>
      </c>
      <c r="V35" s="187">
        <f t="shared" si="4"/>
        <v>0</v>
      </c>
      <c r="W35" s="177">
        <f t="shared" si="4"/>
        <v>0</v>
      </c>
      <c r="X35" s="187">
        <f t="shared" si="4"/>
        <v>0</v>
      </c>
      <c r="Y35" s="177">
        <f t="shared" si="4"/>
        <v>0</v>
      </c>
      <c r="Z35" s="177">
        <f t="shared" si="4"/>
        <v>0</v>
      </c>
      <c r="AA35" s="191">
        <f t="shared" si="4"/>
        <v>0</v>
      </c>
      <c r="AB35" s="177">
        <f t="shared" si="4"/>
        <v>0</v>
      </c>
      <c r="AC35" s="188" t="e">
        <f t="shared" ref="AC4:AC35" si="5">AB35/Y35</f>
        <v>#DIV/0!</v>
      </c>
      <c r="AD35" s="189" t="e">
        <f t="shared" ref="AD21:AD35" si="6">AB35/AA35</f>
        <v>#DIV/0!</v>
      </c>
      <c r="AE35" s="191">
        <f>AE30+AE23+AE20+AE19+AE15+AE12+AE9</f>
        <v>0</v>
      </c>
      <c r="AF35" s="177">
        <f>AF30+AF23+AF20+AF19+AF15+AF12+AF9</f>
        <v>0</v>
      </c>
      <c r="AG35" s="189" t="e">
        <f t="shared" ref="AG21:AG35" si="7">AF35/AE35</f>
        <v>#DIV/0!</v>
      </c>
      <c r="AH35" s="187">
        <f>AH30+AH23+AH20+AH19+AH15+AH12+AH9</f>
        <v>0</v>
      </c>
      <c r="AI35" s="177">
        <f>AI30+AI23+AI20+AI19+AI15+AI12+AI9</f>
        <v>0</v>
      </c>
      <c r="AJ35" s="189">
        <f>AJ30+AJ23+AJ20+AJ19+AJ15+AJ12+AJ9</f>
        <v>0</v>
      </c>
      <c r="AK35" s="192">
        <f>SUM(AK30:AK33)</f>
        <v>0</v>
      </c>
      <c r="AL35" s="193">
        <f>SUM(AL30:AL33)</f>
        <v>0</v>
      </c>
      <c r="AM35" s="194" t="e">
        <f>(AL35/AK35)*10000/12</f>
        <v>#DIV/0!</v>
      </c>
      <c r="AN35" s="195"/>
      <c r="AO35" s="193"/>
      <c r="AP35" s="175"/>
      <c r="AQ35" s="176"/>
      <c r="AR35" s="174"/>
      <c r="AS35" s="175"/>
      <c r="AT35" s="176"/>
      <c r="AU35" s="174"/>
      <c r="AV35" s="175"/>
      <c r="AW35" s="175"/>
      <c r="AX35" s="538"/>
      <c r="AY35" s="176"/>
      <c r="AZ35" s="174"/>
      <c r="BA35" s="196"/>
      <c r="BB35" s="175"/>
      <c r="BC35" s="175"/>
      <c r="BD35" s="538"/>
      <c r="BE35" s="176"/>
      <c r="BF35" s="177"/>
      <c r="BG35" s="177"/>
      <c r="BH35" s="174"/>
      <c r="BI35" s="175"/>
      <c r="BJ35" s="175"/>
      <c r="BK35" s="538"/>
      <c r="BL35" s="196"/>
      <c r="BM35" s="525"/>
    </row>
    <row r="36" spans="1:65" x14ac:dyDescent="0.15">
      <c r="A36" s="2"/>
      <c r="B36" s="2"/>
      <c r="C36" s="3"/>
      <c r="D36" s="4" t="e">
        <f>(C35/B35)*10000/12</f>
        <v>#DIV/0!</v>
      </c>
      <c r="E36" s="2"/>
      <c r="F36" s="5"/>
      <c r="G36" s="4" t="e">
        <f>(F35/E35)*10000/12</f>
        <v>#DIV/0!</v>
      </c>
      <c r="H36" s="2"/>
      <c r="I36" s="5"/>
      <c r="J36" s="4" t="e">
        <f>(I35/H35)*10000/12</f>
        <v>#DIV/0!</v>
      </c>
      <c r="K36" s="6"/>
      <c r="L36" s="7"/>
      <c r="M36" s="8"/>
      <c r="N36" s="4" t="e">
        <f>L35/K35*10000/12</f>
        <v>#DIV/0!</v>
      </c>
      <c r="O36" s="6"/>
      <c r="P36" s="7"/>
      <c r="Q36" s="9" t="e">
        <f>P35/O35*10000/12</f>
        <v>#DIV/0!</v>
      </c>
      <c r="R36" s="2"/>
      <c r="S36" s="10"/>
      <c r="T36" s="4" t="e">
        <f>(S35/R35)*10000/12</f>
        <v>#DIV/0!</v>
      </c>
      <c r="U36" s="2"/>
      <c r="V36" s="10"/>
      <c r="W36" s="9" t="e">
        <f>(V35/U35)*10000/12</f>
        <v>#DIV/0!</v>
      </c>
      <c r="X36" s="2"/>
      <c r="Y36" s="10"/>
      <c r="Z36" s="9" t="e">
        <f>(Y35/X35)*10000/12</f>
        <v>#DIV/0!</v>
      </c>
      <c r="AA36" s="6"/>
      <c r="AB36" s="7"/>
      <c r="AC36" s="8"/>
      <c r="AD36" s="4" t="e">
        <f>AB35/AA35*10000/12</f>
        <v>#DIV/0!</v>
      </c>
      <c r="AE36" s="6"/>
      <c r="AF36" s="7"/>
      <c r="AG36" s="4" t="e">
        <f>AF35/AE35*10000/12</f>
        <v>#DIV/0!</v>
      </c>
      <c r="AH36" s="2"/>
      <c r="AI36" s="10"/>
      <c r="AJ36" s="11"/>
      <c r="AK36" s="2"/>
      <c r="AL36" s="10"/>
      <c r="AM36" s="7"/>
      <c r="AP36" s="7"/>
      <c r="AQ36" s="6"/>
      <c r="AR36" s="7"/>
      <c r="AS36" s="7"/>
      <c r="AT36" s="6"/>
      <c r="AU36" s="13"/>
      <c r="AV36" s="14"/>
      <c r="AW36" s="14"/>
      <c r="AX36" s="14"/>
      <c r="AY36" s="15"/>
      <c r="AZ36" s="13"/>
      <c r="BA36" s="16"/>
      <c r="BB36" s="14"/>
      <c r="BC36" s="14"/>
      <c r="BD36" s="14"/>
      <c r="BE36" s="15"/>
      <c r="BF36" s="13"/>
      <c r="BG36" s="13"/>
      <c r="BH36" s="13"/>
      <c r="BI36" s="14"/>
      <c r="BJ36" s="14"/>
      <c r="BK36" s="14"/>
    </row>
    <row r="37" spans="1:65" ht="28.5" customHeight="1" x14ac:dyDescent="0.15"/>
    <row r="38" spans="1:65" ht="20.25" customHeight="1" x14ac:dyDescent="0.15"/>
  </sheetData>
  <protectedRanges>
    <protectedRange algorithmName="SHA-512" hashValue="40xXMMu5FRQNHR5AyFcUnN9q/eudystlRnzNr3OkMTSzC913jO411vQPwKSxeu9RmOiib+g1q+IetauyW83+Ow==" saltValue="xS43+iKJz0R3vSaXDWxnAQ==" spinCount="100000" sqref="K4:L8 K10:L11 K13:L14 O4:P8 O10:P11 O13:P14 AA4:AB8 AA10:AB11 AA13:AB14 AE4:AF8 AE10:AF11 AE13:AF14 AA20:AB22 O20:P22 K20:L22 AE16:AF18 AA16:AB18 O16:P18 K16:L18 K31:L34 O31:P34 O24:P29 K24:L29 AA31:AB34 AA24:AB29" name="区域1"/>
  </protectedRanges>
  <mergeCells count="18">
    <mergeCell ref="AN2:AP2"/>
    <mergeCell ref="AQ2:AS2"/>
    <mergeCell ref="BL2:BL3"/>
    <mergeCell ref="AT2:AX2"/>
    <mergeCell ref="AY2:BD2"/>
    <mergeCell ref="BE2:BK2"/>
    <mergeCell ref="A1:BM1"/>
    <mergeCell ref="B2:D2"/>
    <mergeCell ref="E2:G2"/>
    <mergeCell ref="H2:N2"/>
    <mergeCell ref="O2:Q2"/>
    <mergeCell ref="R2:T2"/>
    <mergeCell ref="U2:W2"/>
    <mergeCell ref="X2:AD2"/>
    <mergeCell ref="AE2:AG2"/>
    <mergeCell ref="AH2:AJ2"/>
    <mergeCell ref="BM2:BM3"/>
    <mergeCell ref="AK2:AM2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36"/>
  <sheetViews>
    <sheetView tabSelected="1" zoomScale="80" zoomScaleNormal="80" zoomScaleSheetLayoutView="96" workbookViewId="0">
      <pane xSplit="1" ySplit="3" topLeftCell="B4" activePane="bottomRight" state="frozen"/>
      <selection activeCell="BG40" sqref="BG40"/>
      <selection pane="topRight" activeCell="BG40" sqref="BG40"/>
      <selection pane="bottomLeft" activeCell="BG40" sqref="BG40"/>
      <selection pane="bottomRight" activeCell="B4" sqref="B4:Z87"/>
    </sheetView>
  </sheetViews>
  <sheetFormatPr defaultColWidth="8.88671875" defaultRowHeight="14.4" outlineLevelRow="1" x14ac:dyDescent="0.25"/>
  <cols>
    <col min="1" max="1" width="26" style="233" customWidth="1"/>
    <col min="2" max="2" width="6.77734375" style="29" customWidth="1"/>
    <col min="3" max="3" width="9.77734375" style="30" customWidth="1"/>
    <col min="4" max="4" width="9" style="30" customWidth="1"/>
    <col min="5" max="5" width="6.77734375" style="29" customWidth="1"/>
    <col min="6" max="6" width="9.33203125" style="30" customWidth="1"/>
    <col min="7" max="7" width="7.33203125" style="30" customWidth="1"/>
    <col min="8" max="8" width="6.77734375" style="234" customWidth="1"/>
    <col min="9" max="9" width="9.44140625" style="235" customWidth="1"/>
    <col min="10" max="10" width="10.44140625" style="235" customWidth="1"/>
    <col min="11" max="11" width="6.77734375" style="234" customWidth="1"/>
    <col min="12" max="12" width="9.109375" style="235" customWidth="1"/>
    <col min="13" max="13" width="12.109375" style="235" customWidth="1"/>
    <col min="14" max="14" width="7.33203125" style="234" customWidth="1"/>
    <col min="15" max="15" width="9.77734375" style="235" bestFit="1" customWidth="1"/>
    <col min="16" max="16" width="11.33203125" style="235" customWidth="1"/>
    <col min="17" max="17" width="9.6640625" style="236" bestFit="1" customWidth="1"/>
    <col min="18" max="18" width="9" style="234" bestFit="1" customWidth="1"/>
    <col min="19" max="19" width="9.6640625" style="235" hidden="1" customWidth="1"/>
    <col min="20" max="20" width="8.88671875" style="235" hidden="1" customWidth="1"/>
    <col min="21" max="21" width="9.77734375" style="235" bestFit="1" customWidth="1"/>
    <col min="22" max="22" width="13.109375" style="235" customWidth="1"/>
    <col min="23" max="23" width="9.44140625" style="236" bestFit="1" customWidth="1"/>
    <col min="24" max="24" width="17.21875" style="31" customWidth="1"/>
    <col min="25" max="16384" width="8.88671875" style="198"/>
  </cols>
  <sheetData>
    <row r="1" spans="1:24" ht="21" customHeight="1" x14ac:dyDescent="0.25">
      <c r="A1" s="578" t="s">
        <v>190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8"/>
      <c r="P1" s="578"/>
      <c r="Q1" s="578"/>
      <c r="R1" s="578"/>
      <c r="S1" s="578"/>
      <c r="T1" s="578"/>
      <c r="U1" s="578"/>
      <c r="V1" s="578"/>
      <c r="W1" s="578"/>
      <c r="X1" s="578"/>
    </row>
    <row r="2" spans="1:24" s="201" customFormat="1" ht="14.4" customHeight="1" x14ac:dyDescent="0.25">
      <c r="A2" s="199" t="s">
        <v>191</v>
      </c>
      <c r="B2" s="579" t="s">
        <v>132</v>
      </c>
      <c r="C2" s="579"/>
      <c r="D2" s="579"/>
      <c r="E2" s="579" t="s">
        <v>133</v>
      </c>
      <c r="F2" s="579"/>
      <c r="G2" s="579"/>
      <c r="H2" s="579" t="s">
        <v>192</v>
      </c>
      <c r="I2" s="579"/>
      <c r="J2" s="579"/>
      <c r="K2" s="579" t="s">
        <v>193</v>
      </c>
      <c r="L2" s="579"/>
      <c r="M2" s="579"/>
      <c r="N2" s="200"/>
      <c r="O2" s="580" t="s">
        <v>194</v>
      </c>
      <c r="P2" s="580"/>
      <c r="Q2" s="581"/>
      <c r="R2" s="582" t="s">
        <v>195</v>
      </c>
      <c r="S2" s="583"/>
      <c r="T2" s="583"/>
      <c r="U2" s="583"/>
      <c r="V2" s="583"/>
      <c r="W2" s="584"/>
      <c r="X2" s="585" t="s">
        <v>138</v>
      </c>
    </row>
    <row r="3" spans="1:24" s="201" customFormat="1" ht="27.75" customHeight="1" x14ac:dyDescent="0.25">
      <c r="A3" s="202" t="s">
        <v>139</v>
      </c>
      <c r="B3" s="203" t="s">
        <v>196</v>
      </c>
      <c r="C3" s="202" t="s">
        <v>197</v>
      </c>
      <c r="D3" s="202" t="s">
        <v>142</v>
      </c>
      <c r="E3" s="203" t="s">
        <v>196</v>
      </c>
      <c r="F3" s="202" t="s">
        <v>198</v>
      </c>
      <c r="G3" s="202" t="s">
        <v>142</v>
      </c>
      <c r="H3" s="203" t="s">
        <v>196</v>
      </c>
      <c r="I3" s="202" t="s">
        <v>197</v>
      </c>
      <c r="J3" s="202" t="s">
        <v>199</v>
      </c>
      <c r="K3" s="203" t="s">
        <v>196</v>
      </c>
      <c r="L3" s="202" t="s">
        <v>198</v>
      </c>
      <c r="M3" s="202" t="s">
        <v>199</v>
      </c>
      <c r="N3" s="203" t="s">
        <v>196</v>
      </c>
      <c r="O3" s="202" t="s">
        <v>197</v>
      </c>
      <c r="P3" s="202" t="s">
        <v>199</v>
      </c>
      <c r="Q3" s="203" t="s">
        <v>148</v>
      </c>
      <c r="R3" s="203" t="s">
        <v>196</v>
      </c>
      <c r="S3" s="202" t="s">
        <v>156</v>
      </c>
      <c r="T3" s="202" t="s">
        <v>157</v>
      </c>
      <c r="U3" s="202" t="s">
        <v>198</v>
      </c>
      <c r="V3" s="202" t="s">
        <v>199</v>
      </c>
      <c r="W3" s="204" t="s">
        <v>200</v>
      </c>
      <c r="X3" s="585"/>
    </row>
    <row r="4" spans="1:24" s="201" customFormat="1" ht="17.25" customHeight="1" outlineLevel="1" x14ac:dyDescent="0.25">
      <c r="A4" s="35" t="s">
        <v>201</v>
      </c>
      <c r="B4" s="205"/>
      <c r="C4" s="206"/>
      <c r="D4" s="206"/>
      <c r="E4" s="205"/>
      <c r="F4" s="206"/>
      <c r="G4" s="206"/>
      <c r="H4" s="205"/>
      <c r="I4" s="206"/>
      <c r="J4" s="205"/>
      <c r="K4" s="207"/>
      <c r="L4" s="208"/>
      <c r="M4" s="205"/>
      <c r="N4" s="205"/>
      <c r="O4" s="208"/>
      <c r="P4" s="205"/>
      <c r="Q4" s="209"/>
      <c r="R4" s="207"/>
      <c r="S4" s="208"/>
      <c r="T4" s="208"/>
      <c r="U4" s="208"/>
      <c r="V4" s="205"/>
      <c r="W4" s="209"/>
      <c r="X4" s="575"/>
    </row>
    <row r="5" spans="1:24" s="201" customFormat="1" ht="17.25" customHeight="1" outlineLevel="1" x14ac:dyDescent="0.25">
      <c r="A5" s="35" t="s">
        <v>202</v>
      </c>
      <c r="B5" s="205"/>
      <c r="C5" s="206"/>
      <c r="D5" s="206"/>
      <c r="E5" s="205"/>
      <c r="F5" s="206"/>
      <c r="G5" s="206"/>
      <c r="H5" s="205"/>
      <c r="I5" s="206"/>
      <c r="J5" s="205"/>
      <c r="K5" s="207"/>
      <c r="L5" s="208"/>
      <c r="M5" s="205"/>
      <c r="N5" s="205"/>
      <c r="O5" s="208"/>
      <c r="P5" s="207"/>
      <c r="Q5" s="209"/>
      <c r="R5" s="207"/>
      <c r="S5" s="208"/>
      <c r="T5" s="208"/>
      <c r="U5" s="208"/>
      <c r="V5" s="207"/>
      <c r="W5" s="209"/>
      <c r="X5" s="576"/>
    </row>
    <row r="6" spans="1:24" s="201" customFormat="1" ht="17.25" customHeight="1" outlineLevel="1" x14ac:dyDescent="0.25">
      <c r="A6" s="35" t="s">
        <v>203</v>
      </c>
      <c r="B6" s="205"/>
      <c r="C6" s="206"/>
      <c r="D6" s="206"/>
      <c r="E6" s="205"/>
      <c r="F6" s="206"/>
      <c r="G6" s="206"/>
      <c r="H6" s="205"/>
      <c r="I6" s="206"/>
      <c r="J6" s="205"/>
      <c r="K6" s="207"/>
      <c r="L6" s="208"/>
      <c r="M6" s="205"/>
      <c r="N6" s="205"/>
      <c r="O6" s="208"/>
      <c r="P6" s="207"/>
      <c r="Q6" s="209"/>
      <c r="R6" s="207"/>
      <c r="S6" s="208"/>
      <c r="T6" s="208"/>
      <c r="U6" s="208"/>
      <c r="V6" s="207"/>
      <c r="W6" s="209"/>
      <c r="X6" s="576"/>
    </row>
    <row r="7" spans="1:24" s="201" customFormat="1" ht="17.25" customHeight="1" outlineLevel="1" x14ac:dyDescent="0.25">
      <c r="A7" s="35" t="s">
        <v>162</v>
      </c>
      <c r="B7" s="205"/>
      <c r="C7" s="206"/>
      <c r="D7" s="206"/>
      <c r="E7" s="205"/>
      <c r="F7" s="206"/>
      <c r="G7" s="206"/>
      <c r="H7" s="205"/>
      <c r="I7" s="206"/>
      <c r="J7" s="205"/>
      <c r="K7" s="207"/>
      <c r="L7" s="208"/>
      <c r="M7" s="205"/>
      <c r="N7" s="205"/>
      <c r="O7" s="208"/>
      <c r="P7" s="207"/>
      <c r="Q7" s="209"/>
      <c r="R7" s="207"/>
      <c r="S7" s="208"/>
      <c r="T7" s="208"/>
      <c r="U7" s="208"/>
      <c r="V7" s="207"/>
      <c r="W7" s="209"/>
      <c r="X7" s="576"/>
    </row>
    <row r="8" spans="1:24" s="201" customFormat="1" ht="17.25" customHeight="1" outlineLevel="1" x14ac:dyDescent="0.25">
      <c r="A8" s="35" t="s">
        <v>163</v>
      </c>
      <c r="B8" s="205"/>
      <c r="C8" s="206"/>
      <c r="D8" s="206"/>
      <c r="E8" s="205"/>
      <c r="F8" s="206"/>
      <c r="G8" s="206"/>
      <c r="H8" s="205"/>
      <c r="I8" s="206"/>
      <c r="J8" s="205"/>
      <c r="K8" s="207"/>
      <c r="L8" s="208"/>
      <c r="M8" s="205"/>
      <c r="N8" s="205"/>
      <c r="O8" s="208"/>
      <c r="P8" s="207"/>
      <c r="Q8" s="209"/>
      <c r="R8" s="207"/>
      <c r="S8" s="208"/>
      <c r="T8" s="208"/>
      <c r="U8" s="208"/>
      <c r="V8" s="207"/>
      <c r="W8" s="209"/>
      <c r="X8" s="576"/>
    </row>
    <row r="9" spans="1:24" s="214" customFormat="1" ht="17.25" customHeight="1" x14ac:dyDescent="0.25">
      <c r="A9" s="120" t="s">
        <v>164</v>
      </c>
      <c r="B9" s="210"/>
      <c r="C9" s="120"/>
      <c r="D9" s="120"/>
      <c r="E9" s="210"/>
      <c r="F9" s="120"/>
      <c r="G9" s="120"/>
      <c r="H9" s="210"/>
      <c r="I9" s="120"/>
      <c r="J9" s="210"/>
      <c r="K9" s="210"/>
      <c r="L9" s="120"/>
      <c r="M9" s="210"/>
      <c r="N9" s="210"/>
      <c r="O9" s="211"/>
      <c r="P9" s="212"/>
      <c r="Q9" s="213"/>
      <c r="R9" s="212"/>
      <c r="S9" s="211"/>
      <c r="T9" s="211"/>
      <c r="U9" s="211"/>
      <c r="V9" s="212"/>
      <c r="W9" s="213"/>
      <c r="X9" s="576"/>
    </row>
    <row r="10" spans="1:24" s="201" customFormat="1" ht="13.5" customHeight="1" outlineLevel="1" x14ac:dyDescent="0.25">
      <c r="A10" s="35" t="s">
        <v>165</v>
      </c>
      <c r="B10" s="205"/>
      <c r="C10" s="206"/>
      <c r="D10" s="206"/>
      <c r="E10" s="205"/>
      <c r="F10" s="206"/>
      <c r="G10" s="206"/>
      <c r="H10" s="205"/>
      <c r="I10" s="206"/>
      <c r="J10" s="205"/>
      <c r="K10" s="207"/>
      <c r="L10" s="208"/>
      <c r="M10" s="205"/>
      <c r="N10" s="205"/>
      <c r="O10" s="208"/>
      <c r="P10" s="207"/>
      <c r="Q10" s="209"/>
      <c r="R10" s="207"/>
      <c r="S10" s="208"/>
      <c r="T10" s="208"/>
      <c r="U10" s="208"/>
      <c r="V10" s="207"/>
      <c r="W10" s="209"/>
      <c r="X10" s="576"/>
    </row>
    <row r="11" spans="1:24" s="201" customFormat="1" ht="13.5" customHeight="1" outlineLevel="1" x14ac:dyDescent="0.25">
      <c r="A11" s="35" t="s">
        <v>166</v>
      </c>
      <c r="B11" s="205"/>
      <c r="C11" s="206"/>
      <c r="D11" s="206"/>
      <c r="E11" s="205"/>
      <c r="F11" s="206"/>
      <c r="G11" s="206"/>
      <c r="H11" s="205"/>
      <c r="I11" s="206"/>
      <c r="J11" s="205"/>
      <c r="K11" s="207"/>
      <c r="L11" s="208"/>
      <c r="M11" s="205"/>
      <c r="N11" s="205"/>
      <c r="O11" s="208"/>
      <c r="P11" s="207"/>
      <c r="Q11" s="209"/>
      <c r="R11" s="207"/>
      <c r="S11" s="208"/>
      <c r="T11" s="208"/>
      <c r="U11" s="208"/>
      <c r="V11" s="207"/>
      <c r="W11" s="209"/>
      <c r="X11" s="576"/>
    </row>
    <row r="12" spans="1:24" s="214" customFormat="1" ht="13.5" customHeight="1" x14ac:dyDescent="0.25">
      <c r="A12" s="120" t="s">
        <v>167</v>
      </c>
      <c r="B12" s="210"/>
      <c r="C12" s="120"/>
      <c r="D12" s="120"/>
      <c r="E12" s="210"/>
      <c r="F12" s="120"/>
      <c r="G12" s="120"/>
      <c r="H12" s="210"/>
      <c r="I12" s="120"/>
      <c r="J12" s="210"/>
      <c r="K12" s="210"/>
      <c r="L12" s="120"/>
      <c r="M12" s="210"/>
      <c r="N12" s="210"/>
      <c r="O12" s="211"/>
      <c r="P12" s="212"/>
      <c r="Q12" s="213"/>
      <c r="R12" s="212"/>
      <c r="S12" s="211"/>
      <c r="T12" s="211"/>
      <c r="U12" s="211"/>
      <c r="V12" s="212"/>
      <c r="W12" s="213"/>
      <c r="X12" s="576"/>
    </row>
    <row r="13" spans="1:24" s="201" customFormat="1" ht="13.5" customHeight="1" outlineLevel="1" x14ac:dyDescent="0.25">
      <c r="A13" s="35" t="s">
        <v>19</v>
      </c>
      <c r="B13" s="205"/>
      <c r="C13" s="206"/>
      <c r="D13" s="206"/>
      <c r="E13" s="205"/>
      <c r="F13" s="206"/>
      <c r="G13" s="206"/>
      <c r="H13" s="205"/>
      <c r="I13" s="206"/>
      <c r="J13" s="205"/>
      <c r="K13" s="207"/>
      <c r="L13" s="208"/>
      <c r="M13" s="205"/>
      <c r="N13" s="205"/>
      <c r="O13" s="208"/>
      <c r="P13" s="207"/>
      <c r="Q13" s="209"/>
      <c r="R13" s="207"/>
      <c r="S13" s="208"/>
      <c r="T13" s="208"/>
      <c r="U13" s="208"/>
      <c r="V13" s="207"/>
      <c r="W13" s="209"/>
      <c r="X13" s="576"/>
    </row>
    <row r="14" spans="1:24" s="201" customFormat="1" ht="13.5" customHeight="1" outlineLevel="1" x14ac:dyDescent="0.25">
      <c r="A14" s="35" t="s">
        <v>204</v>
      </c>
      <c r="B14" s="205"/>
      <c r="C14" s="206"/>
      <c r="D14" s="206"/>
      <c r="E14" s="205"/>
      <c r="F14" s="206"/>
      <c r="G14" s="206"/>
      <c r="H14" s="205"/>
      <c r="I14" s="206"/>
      <c r="J14" s="205"/>
      <c r="K14" s="207"/>
      <c r="L14" s="208"/>
      <c r="M14" s="205"/>
      <c r="N14" s="205"/>
      <c r="O14" s="208"/>
      <c r="P14" s="207"/>
      <c r="Q14" s="209"/>
      <c r="R14" s="207"/>
      <c r="S14" s="208"/>
      <c r="T14" s="208"/>
      <c r="U14" s="208"/>
      <c r="V14" s="207"/>
      <c r="W14" s="209"/>
      <c r="X14" s="576"/>
    </row>
    <row r="15" spans="1:24" s="214" customFormat="1" ht="13.5" customHeight="1" x14ac:dyDescent="0.25">
      <c r="A15" s="120" t="s">
        <v>170</v>
      </c>
      <c r="B15" s="210"/>
      <c r="C15" s="120"/>
      <c r="D15" s="120"/>
      <c r="E15" s="210"/>
      <c r="F15" s="120"/>
      <c r="G15" s="120"/>
      <c r="H15" s="210"/>
      <c r="I15" s="120"/>
      <c r="J15" s="210"/>
      <c r="K15" s="210"/>
      <c r="L15" s="120"/>
      <c r="M15" s="210"/>
      <c r="N15" s="210"/>
      <c r="O15" s="211"/>
      <c r="P15" s="212"/>
      <c r="Q15" s="213"/>
      <c r="R15" s="212"/>
      <c r="S15" s="211"/>
      <c r="T15" s="211"/>
      <c r="U15" s="211"/>
      <c r="V15" s="212"/>
      <c r="W15" s="213"/>
      <c r="X15" s="576"/>
    </row>
    <row r="16" spans="1:24" s="201" customFormat="1" ht="13.5" customHeight="1" outlineLevel="1" x14ac:dyDescent="0.25">
      <c r="A16" s="35" t="s">
        <v>171</v>
      </c>
      <c r="B16" s="205"/>
      <c r="C16" s="206"/>
      <c r="D16" s="206"/>
      <c r="E16" s="205"/>
      <c r="F16" s="206"/>
      <c r="G16" s="206"/>
      <c r="H16" s="205"/>
      <c r="I16" s="206"/>
      <c r="J16" s="205"/>
      <c r="K16" s="207"/>
      <c r="L16" s="208"/>
      <c r="M16" s="205"/>
      <c r="N16" s="205"/>
      <c r="O16" s="208"/>
      <c r="P16" s="207"/>
      <c r="Q16" s="209"/>
      <c r="R16" s="207"/>
      <c r="S16" s="208"/>
      <c r="T16" s="208"/>
      <c r="U16" s="208"/>
      <c r="V16" s="207"/>
      <c r="W16" s="209"/>
      <c r="X16" s="576"/>
    </row>
    <row r="17" spans="1:26" s="201" customFormat="1" ht="13.5" customHeight="1" outlineLevel="1" x14ac:dyDescent="0.25">
      <c r="A17" s="35" t="s">
        <v>172</v>
      </c>
      <c r="B17" s="205"/>
      <c r="C17" s="206"/>
      <c r="D17" s="206"/>
      <c r="E17" s="205"/>
      <c r="F17" s="206"/>
      <c r="G17" s="206"/>
      <c r="H17" s="205"/>
      <c r="I17" s="206"/>
      <c r="J17" s="205"/>
      <c r="K17" s="207"/>
      <c r="L17" s="208"/>
      <c r="M17" s="205"/>
      <c r="N17" s="205"/>
      <c r="O17" s="208"/>
      <c r="P17" s="207"/>
      <c r="Q17" s="209"/>
      <c r="R17" s="207"/>
      <c r="S17" s="208"/>
      <c r="T17" s="208"/>
      <c r="U17" s="208"/>
      <c r="V17" s="207"/>
      <c r="W17" s="209"/>
      <c r="X17" s="576"/>
    </row>
    <row r="18" spans="1:26" s="201" customFormat="1" ht="13.5" customHeight="1" outlineLevel="1" x14ac:dyDescent="0.25">
      <c r="A18" s="35" t="s">
        <v>173</v>
      </c>
      <c r="B18" s="205"/>
      <c r="C18" s="206"/>
      <c r="D18" s="206"/>
      <c r="E18" s="205"/>
      <c r="F18" s="206"/>
      <c r="G18" s="206"/>
      <c r="H18" s="205"/>
      <c r="I18" s="206"/>
      <c r="J18" s="205"/>
      <c r="K18" s="207"/>
      <c r="L18" s="208"/>
      <c r="M18" s="205"/>
      <c r="N18" s="205"/>
      <c r="O18" s="208"/>
      <c r="P18" s="207"/>
      <c r="Q18" s="209"/>
      <c r="R18" s="215"/>
      <c r="S18" s="208"/>
      <c r="T18" s="208"/>
      <c r="U18" s="208"/>
      <c r="V18" s="207"/>
      <c r="W18" s="209"/>
      <c r="X18" s="576"/>
    </row>
    <row r="19" spans="1:26" s="214" customFormat="1" ht="13.5" customHeight="1" x14ac:dyDescent="0.25">
      <c r="A19" s="120" t="s">
        <v>174</v>
      </c>
      <c r="B19" s="210"/>
      <c r="C19" s="120"/>
      <c r="D19" s="120"/>
      <c r="E19" s="210"/>
      <c r="F19" s="120"/>
      <c r="G19" s="120"/>
      <c r="H19" s="210"/>
      <c r="I19" s="120"/>
      <c r="J19" s="210"/>
      <c r="K19" s="210"/>
      <c r="L19" s="120"/>
      <c r="M19" s="210"/>
      <c r="N19" s="210"/>
      <c r="O19" s="211"/>
      <c r="P19" s="212"/>
      <c r="Q19" s="213"/>
      <c r="R19" s="212"/>
      <c r="S19" s="211"/>
      <c r="T19" s="211"/>
      <c r="U19" s="211"/>
      <c r="V19" s="212"/>
      <c r="W19" s="213"/>
      <c r="X19" s="576"/>
    </row>
    <row r="20" spans="1:26" s="214" customFormat="1" ht="17.399999999999999" customHeight="1" x14ac:dyDescent="0.25">
      <c r="A20" s="120" t="s">
        <v>205</v>
      </c>
      <c r="B20" s="210"/>
      <c r="C20" s="120"/>
      <c r="D20" s="120"/>
      <c r="E20" s="210"/>
      <c r="F20" s="120"/>
      <c r="G20" s="120"/>
      <c r="H20" s="210"/>
      <c r="I20" s="120"/>
      <c r="J20" s="210"/>
      <c r="K20" s="212"/>
      <c r="L20" s="211"/>
      <c r="M20" s="210"/>
      <c r="N20" s="210"/>
      <c r="O20" s="211"/>
      <c r="P20" s="212"/>
      <c r="Q20" s="213"/>
      <c r="R20" s="212"/>
      <c r="S20" s="211"/>
      <c r="T20" s="211"/>
      <c r="U20" s="211"/>
      <c r="V20" s="212"/>
      <c r="W20" s="213"/>
      <c r="X20" s="576"/>
    </row>
    <row r="21" spans="1:26" s="201" customFormat="1" ht="13.5" customHeight="1" x14ac:dyDescent="0.25">
      <c r="A21" s="35" t="s">
        <v>176</v>
      </c>
      <c r="B21" s="205"/>
      <c r="C21" s="206"/>
      <c r="D21" s="206"/>
      <c r="E21" s="205"/>
      <c r="F21" s="206"/>
      <c r="G21" s="206"/>
      <c r="H21" s="205"/>
      <c r="I21" s="206"/>
      <c r="J21" s="205"/>
      <c r="K21" s="207"/>
      <c r="L21" s="208"/>
      <c r="M21" s="205"/>
      <c r="N21" s="205"/>
      <c r="O21" s="208"/>
      <c r="P21" s="207"/>
      <c r="Q21" s="209"/>
      <c r="R21" s="207"/>
      <c r="S21" s="208"/>
      <c r="T21" s="208"/>
      <c r="U21" s="208"/>
      <c r="V21" s="207"/>
      <c r="W21" s="209"/>
      <c r="X21" s="576"/>
    </row>
    <row r="22" spans="1:26" s="201" customFormat="1" ht="13.5" customHeight="1" x14ac:dyDescent="0.25">
      <c r="A22" s="35" t="s">
        <v>177</v>
      </c>
      <c r="B22" s="205"/>
      <c r="C22" s="206"/>
      <c r="D22" s="206"/>
      <c r="E22" s="205"/>
      <c r="F22" s="206"/>
      <c r="G22" s="206"/>
      <c r="H22" s="205"/>
      <c r="I22" s="206"/>
      <c r="J22" s="205"/>
      <c r="K22" s="207"/>
      <c r="L22" s="208"/>
      <c r="M22" s="205"/>
      <c r="N22" s="205"/>
      <c r="O22" s="208"/>
      <c r="P22" s="207"/>
      <c r="Q22" s="209"/>
      <c r="R22" s="207"/>
      <c r="S22" s="208"/>
      <c r="T22" s="208"/>
      <c r="U22" s="208"/>
      <c r="V22" s="207"/>
      <c r="W22" s="209"/>
      <c r="X22" s="576"/>
    </row>
    <row r="23" spans="1:26" s="214" customFormat="1" ht="13.5" customHeight="1" x14ac:dyDescent="0.25">
      <c r="A23" s="120" t="s">
        <v>178</v>
      </c>
      <c r="B23" s="210"/>
      <c r="C23" s="120"/>
      <c r="D23" s="120"/>
      <c r="E23" s="210"/>
      <c r="F23" s="120"/>
      <c r="G23" s="120"/>
      <c r="H23" s="210"/>
      <c r="I23" s="120"/>
      <c r="J23" s="210"/>
      <c r="K23" s="210"/>
      <c r="L23" s="120"/>
      <c r="M23" s="210"/>
      <c r="N23" s="210"/>
      <c r="O23" s="211"/>
      <c r="P23" s="212"/>
      <c r="Q23" s="213"/>
      <c r="R23" s="212"/>
      <c r="S23" s="211"/>
      <c r="T23" s="211"/>
      <c r="U23" s="211"/>
      <c r="V23" s="212"/>
      <c r="W23" s="213"/>
      <c r="X23" s="576"/>
    </row>
    <row r="24" spans="1:26" s="201" customFormat="1" ht="13.5" customHeight="1" x14ac:dyDescent="0.25">
      <c r="A24" s="35" t="s">
        <v>179</v>
      </c>
      <c r="B24" s="205"/>
      <c r="C24" s="206"/>
      <c r="D24" s="206"/>
      <c r="E24" s="205"/>
      <c r="F24" s="206"/>
      <c r="G24" s="206"/>
      <c r="H24" s="205"/>
      <c r="I24" s="206"/>
      <c r="J24" s="205"/>
      <c r="K24" s="207"/>
      <c r="L24" s="208"/>
      <c r="M24" s="205"/>
      <c r="N24" s="205"/>
      <c r="O24" s="208"/>
      <c r="P24" s="207"/>
      <c r="Q24" s="209"/>
      <c r="R24" s="207"/>
      <c r="S24" s="208"/>
      <c r="T24" s="208"/>
      <c r="U24" s="208"/>
      <c r="V24" s="207"/>
      <c r="W24" s="209"/>
      <c r="X24" s="576"/>
    </row>
    <row r="25" spans="1:26" s="201" customFormat="1" ht="13.5" customHeight="1" x14ac:dyDescent="0.25">
      <c r="A25" s="35" t="s">
        <v>180</v>
      </c>
      <c r="B25" s="205"/>
      <c r="C25" s="206"/>
      <c r="D25" s="206"/>
      <c r="E25" s="205"/>
      <c r="F25" s="206"/>
      <c r="G25" s="206"/>
      <c r="H25" s="205"/>
      <c r="I25" s="206"/>
      <c r="J25" s="205"/>
      <c r="K25" s="207"/>
      <c r="L25" s="208"/>
      <c r="M25" s="205"/>
      <c r="N25" s="205"/>
      <c r="O25" s="208"/>
      <c r="P25" s="207"/>
      <c r="Q25" s="209"/>
      <c r="R25" s="207"/>
      <c r="S25" s="208"/>
      <c r="T25" s="208"/>
      <c r="U25" s="208"/>
      <c r="V25" s="207"/>
      <c r="W25" s="209"/>
      <c r="X25" s="576"/>
    </row>
    <row r="26" spans="1:26" s="201" customFormat="1" ht="13.5" customHeight="1" x14ac:dyDescent="0.25">
      <c r="A26" s="35" t="s">
        <v>181</v>
      </c>
      <c r="B26" s="205"/>
      <c r="C26" s="206"/>
      <c r="D26" s="206"/>
      <c r="E26" s="205"/>
      <c r="F26" s="206"/>
      <c r="G26" s="206"/>
      <c r="H26" s="205"/>
      <c r="I26" s="206"/>
      <c r="J26" s="205"/>
      <c r="K26" s="207"/>
      <c r="L26" s="208"/>
      <c r="M26" s="205"/>
      <c r="N26" s="205"/>
      <c r="O26" s="208"/>
      <c r="P26" s="207"/>
      <c r="Q26" s="209"/>
      <c r="R26" s="207"/>
      <c r="S26" s="208"/>
      <c r="T26" s="208"/>
      <c r="U26" s="208"/>
      <c r="V26" s="207"/>
      <c r="W26" s="209"/>
      <c r="X26" s="576"/>
    </row>
    <row r="27" spans="1:26" s="201" customFormat="1" ht="13.5" customHeight="1" x14ac:dyDescent="0.25">
      <c r="A27" s="35" t="s">
        <v>182</v>
      </c>
      <c r="B27" s="205"/>
      <c r="C27" s="206"/>
      <c r="D27" s="206"/>
      <c r="E27" s="205"/>
      <c r="F27" s="206"/>
      <c r="G27" s="206"/>
      <c r="H27" s="205"/>
      <c r="I27" s="206"/>
      <c r="J27" s="205"/>
      <c r="K27" s="207"/>
      <c r="L27" s="208"/>
      <c r="M27" s="205"/>
      <c r="N27" s="205"/>
      <c r="O27" s="208"/>
      <c r="P27" s="207"/>
      <c r="Q27" s="209"/>
      <c r="R27" s="207"/>
      <c r="S27" s="208"/>
      <c r="T27" s="208"/>
      <c r="U27" s="208"/>
      <c r="V27" s="207"/>
      <c r="W27" s="209"/>
      <c r="X27" s="576"/>
    </row>
    <row r="28" spans="1:26" s="201" customFormat="1" ht="13.5" customHeight="1" x14ac:dyDescent="0.25">
      <c r="A28" s="35" t="s">
        <v>183</v>
      </c>
      <c r="B28" s="205"/>
      <c r="C28" s="206"/>
      <c r="D28" s="206"/>
      <c r="E28" s="205"/>
      <c r="F28" s="206"/>
      <c r="G28" s="206"/>
      <c r="H28" s="205"/>
      <c r="I28" s="206"/>
      <c r="J28" s="205"/>
      <c r="K28" s="207"/>
      <c r="L28" s="208"/>
      <c r="M28" s="205"/>
      <c r="N28" s="205"/>
      <c r="O28" s="208"/>
      <c r="P28" s="207"/>
      <c r="Q28" s="209"/>
      <c r="R28" s="207"/>
      <c r="S28" s="208"/>
      <c r="T28" s="208"/>
      <c r="U28" s="208"/>
      <c r="V28" s="207"/>
      <c r="W28" s="209"/>
      <c r="X28" s="576"/>
    </row>
    <row r="29" spans="1:26" s="201" customFormat="1" ht="14.1" hidden="1" customHeight="1" x14ac:dyDescent="0.25">
      <c r="A29" s="35" t="s">
        <v>206</v>
      </c>
      <c r="B29" s="205"/>
      <c r="C29" s="206"/>
      <c r="D29" s="206"/>
      <c r="E29" s="205"/>
      <c r="F29" s="206"/>
      <c r="G29" s="206"/>
      <c r="H29" s="205"/>
      <c r="I29" s="206"/>
      <c r="J29" s="205"/>
      <c r="K29" s="205"/>
      <c r="L29" s="206"/>
      <c r="M29" s="205"/>
      <c r="N29" s="205"/>
      <c r="O29" s="208"/>
      <c r="P29" s="207"/>
      <c r="Q29" s="209"/>
      <c r="R29" s="207"/>
      <c r="S29" s="208"/>
      <c r="T29" s="208"/>
      <c r="U29" s="208"/>
      <c r="V29" s="207"/>
      <c r="W29" s="209"/>
      <c r="X29" s="576"/>
    </row>
    <row r="30" spans="1:26" s="201" customFormat="1" ht="14.1" customHeight="1" x14ac:dyDescent="0.25">
      <c r="A30" s="35" t="s">
        <v>184</v>
      </c>
      <c r="B30" s="205"/>
      <c r="C30" s="206"/>
      <c r="D30" s="206"/>
      <c r="E30" s="205"/>
      <c r="F30" s="206"/>
      <c r="G30" s="206"/>
      <c r="H30" s="205"/>
      <c r="I30" s="206"/>
      <c r="J30" s="205"/>
      <c r="K30" s="205"/>
      <c r="L30" s="206"/>
      <c r="M30" s="205"/>
      <c r="N30" s="205"/>
      <c r="O30" s="208"/>
      <c r="P30" s="207"/>
      <c r="Q30" s="209"/>
      <c r="R30" s="207"/>
      <c r="S30" s="208"/>
      <c r="T30" s="208"/>
      <c r="U30" s="208"/>
      <c r="V30" s="207"/>
      <c r="W30" s="209"/>
      <c r="X30" s="576"/>
    </row>
    <row r="31" spans="1:26" s="214" customFormat="1" ht="18" customHeight="1" x14ac:dyDescent="0.25">
      <c r="A31" s="151" t="s">
        <v>185</v>
      </c>
      <c r="B31" s="216"/>
      <c r="C31" s="217"/>
      <c r="D31" s="218"/>
      <c r="E31" s="216"/>
      <c r="F31" s="217"/>
      <c r="G31" s="218"/>
      <c r="H31" s="216"/>
      <c r="I31" s="217"/>
      <c r="J31" s="219"/>
      <c r="K31" s="216"/>
      <c r="L31" s="217"/>
      <c r="M31" s="219"/>
      <c r="N31" s="216"/>
      <c r="O31" s="220"/>
      <c r="P31" s="221"/>
      <c r="Q31" s="222"/>
      <c r="R31" s="223"/>
      <c r="S31" s="224"/>
      <c r="T31" s="224"/>
      <c r="U31" s="220"/>
      <c r="V31" s="221"/>
      <c r="W31" s="222"/>
      <c r="X31" s="576"/>
      <c r="Y31" s="225"/>
      <c r="Z31" s="225"/>
    </row>
    <row r="32" spans="1:26" s="201" customFormat="1" ht="13.5" customHeight="1" x14ac:dyDescent="0.25">
      <c r="A32" s="35" t="s">
        <v>186</v>
      </c>
      <c r="B32" s="205"/>
      <c r="C32" s="206"/>
      <c r="D32" s="206"/>
      <c r="E32" s="205"/>
      <c r="F32" s="206"/>
      <c r="G32" s="206"/>
      <c r="H32" s="205"/>
      <c r="I32" s="206"/>
      <c r="J32" s="205"/>
      <c r="K32" s="207"/>
      <c r="L32" s="208"/>
      <c r="M32" s="205"/>
      <c r="N32" s="205"/>
      <c r="O32" s="208"/>
      <c r="P32" s="207"/>
      <c r="Q32" s="209"/>
      <c r="R32" s="207"/>
      <c r="S32" s="208"/>
      <c r="T32" s="208"/>
      <c r="U32" s="208"/>
      <c r="V32" s="207"/>
      <c r="W32" s="209"/>
      <c r="X32" s="576"/>
      <c r="Y32" s="536"/>
      <c r="Z32" s="537"/>
    </row>
    <row r="33" spans="1:24" s="201" customFormat="1" ht="13.5" customHeight="1" x14ac:dyDescent="0.25">
      <c r="A33" s="35" t="s">
        <v>187</v>
      </c>
      <c r="B33" s="205"/>
      <c r="C33" s="206"/>
      <c r="D33" s="206"/>
      <c r="E33" s="205"/>
      <c r="F33" s="206"/>
      <c r="G33" s="206"/>
      <c r="H33" s="205"/>
      <c r="I33" s="206"/>
      <c r="J33" s="205"/>
      <c r="K33" s="207"/>
      <c r="L33" s="208"/>
      <c r="M33" s="205"/>
      <c r="N33" s="205"/>
      <c r="O33" s="208"/>
      <c r="P33" s="207"/>
      <c r="Q33" s="209"/>
      <c r="R33" s="207"/>
      <c r="S33" s="208"/>
      <c r="T33" s="208"/>
      <c r="U33" s="208"/>
      <c r="V33" s="207"/>
      <c r="W33" s="209"/>
      <c r="X33" s="576"/>
    </row>
    <row r="34" spans="1:24" s="201" customFormat="1" ht="13.5" customHeight="1" x14ac:dyDescent="0.25">
      <c r="A34" s="35" t="s">
        <v>18</v>
      </c>
      <c r="B34" s="205"/>
      <c r="C34" s="206"/>
      <c r="D34" s="206"/>
      <c r="E34" s="205"/>
      <c r="F34" s="206"/>
      <c r="G34" s="206"/>
      <c r="H34" s="205"/>
      <c r="I34" s="206"/>
      <c r="J34" s="205"/>
      <c r="K34" s="207"/>
      <c r="L34" s="208"/>
      <c r="M34" s="205"/>
      <c r="N34" s="205"/>
      <c r="O34" s="208"/>
      <c r="P34" s="207"/>
      <c r="Q34" s="209"/>
      <c r="R34" s="207"/>
      <c r="S34" s="208"/>
      <c r="T34" s="208"/>
      <c r="U34" s="208"/>
      <c r="V34" s="207"/>
      <c r="W34" s="209"/>
      <c r="X34" s="576"/>
    </row>
    <row r="35" spans="1:24" s="214" customFormat="1" ht="13.5" customHeight="1" x14ac:dyDescent="0.25">
      <c r="A35" s="151" t="s">
        <v>188</v>
      </c>
      <c r="B35" s="226"/>
      <c r="C35" s="217"/>
      <c r="D35" s="218"/>
      <c r="E35" s="210"/>
      <c r="F35" s="210"/>
      <c r="G35" s="120"/>
      <c r="H35" s="216"/>
      <c r="I35" s="217"/>
      <c r="J35" s="219"/>
      <c r="K35" s="216"/>
      <c r="L35" s="217"/>
      <c r="M35" s="219"/>
      <c r="N35" s="216"/>
      <c r="O35" s="217"/>
      <c r="P35" s="219"/>
      <c r="Q35" s="222"/>
      <c r="R35" s="226"/>
      <c r="S35" s="212"/>
      <c r="T35" s="212"/>
      <c r="U35" s="227"/>
      <c r="V35" s="228"/>
      <c r="W35" s="222"/>
      <c r="X35" s="576"/>
    </row>
    <row r="36" spans="1:24" s="232" customFormat="1" ht="17.25" customHeight="1" x14ac:dyDescent="0.25">
      <c r="A36" s="186" t="s">
        <v>189</v>
      </c>
      <c r="B36" s="229"/>
      <c r="C36" s="230"/>
      <c r="D36" s="218"/>
      <c r="E36" s="229"/>
      <c r="F36" s="230"/>
      <c r="G36" s="218"/>
      <c r="H36" s="223"/>
      <c r="I36" s="220"/>
      <c r="J36" s="219"/>
      <c r="K36" s="223"/>
      <c r="L36" s="220"/>
      <c r="M36" s="219"/>
      <c r="N36" s="223"/>
      <c r="O36" s="220"/>
      <c r="P36" s="221"/>
      <c r="Q36" s="231"/>
      <c r="R36" s="223"/>
      <c r="S36" s="224"/>
      <c r="T36" s="224"/>
      <c r="U36" s="220"/>
      <c r="V36" s="221"/>
      <c r="W36" s="231"/>
      <c r="X36" s="577"/>
    </row>
  </sheetData>
  <mergeCells count="9">
    <mergeCell ref="X4:X36"/>
    <mergeCell ref="A1:X1"/>
    <mergeCell ref="B2:D2"/>
    <mergeCell ref="E2:G2"/>
    <mergeCell ref="H2:J2"/>
    <mergeCell ref="K2:M2"/>
    <mergeCell ref="O2:Q2"/>
    <mergeCell ref="R2:W2"/>
    <mergeCell ref="X2:X3"/>
  </mergeCells>
  <phoneticPr fontId="6" type="noConversion"/>
  <pageMargins left="0" right="0" top="0.74803149606299213" bottom="0.74803149606299213" header="0.31496062992125984" footer="0.31496062992125984"/>
  <pageSetup paperSize="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zoomScale="80" zoomScaleNormal="80" workbookViewId="0">
      <pane xSplit="1" ySplit="2" topLeftCell="E20" activePane="bottomRight" state="frozen"/>
      <selection activeCell="K56" sqref="K56"/>
      <selection pane="topRight" activeCell="K56" sqref="K56"/>
      <selection pane="bottomLeft" activeCell="K56" sqref="K56"/>
      <selection pane="bottomRight" activeCell="J49" sqref="J49"/>
    </sheetView>
  </sheetViews>
  <sheetFormatPr defaultColWidth="8.88671875" defaultRowHeight="17.399999999999999" outlineLevelRow="1" x14ac:dyDescent="0.25"/>
  <cols>
    <col min="1" max="1" width="33.77734375" style="382" customWidth="1"/>
    <col min="2" max="4" width="10.33203125" style="382" customWidth="1"/>
    <col min="5" max="5" width="10.44140625" style="338" customWidth="1"/>
    <col min="6" max="6" width="10" style="338" customWidth="1"/>
    <col min="7" max="7" width="13" style="383" customWidth="1"/>
    <col min="8" max="8" width="12.21875" style="338" customWidth="1"/>
    <col min="9" max="9" width="11.6640625" style="338" customWidth="1"/>
    <col min="10" max="10" width="13.21875" style="383" customWidth="1"/>
    <col min="11" max="11" width="12.21875" style="338" customWidth="1"/>
    <col min="12" max="12" width="21.44140625" style="338" bestFit="1" customWidth="1"/>
    <col min="13" max="13" width="57.6640625" style="383" customWidth="1"/>
    <col min="14" max="14" width="34.44140625" style="338" hidden="1" customWidth="1"/>
    <col min="15" max="16384" width="8.88671875" style="338"/>
  </cols>
  <sheetData>
    <row r="1" spans="1:15" s="382" customFormat="1" ht="21" customHeight="1" x14ac:dyDescent="0.25">
      <c r="A1" s="324" t="s">
        <v>207</v>
      </c>
      <c r="B1" s="588" t="s">
        <v>208</v>
      </c>
      <c r="C1" s="589"/>
      <c r="D1" s="590"/>
      <c r="E1" s="591" t="s">
        <v>209</v>
      </c>
      <c r="F1" s="591"/>
      <c r="G1" s="591"/>
      <c r="H1" s="592" t="s">
        <v>210</v>
      </c>
      <c r="I1" s="592"/>
      <c r="J1" s="592"/>
      <c r="K1" s="593" t="s">
        <v>211</v>
      </c>
      <c r="L1" s="595" t="s">
        <v>212</v>
      </c>
      <c r="M1" s="597" t="s">
        <v>213</v>
      </c>
      <c r="N1" s="586" t="s">
        <v>319</v>
      </c>
    </row>
    <row r="2" spans="1:15" s="365" customFormat="1" ht="34.799999999999997" x14ac:dyDescent="0.25">
      <c r="A2" s="324" t="s">
        <v>214</v>
      </c>
      <c r="B2" s="324" t="s">
        <v>215</v>
      </c>
      <c r="C2" s="324" t="s">
        <v>216</v>
      </c>
      <c r="D2" s="326" t="s">
        <v>217</v>
      </c>
      <c r="E2" s="324" t="s">
        <v>218</v>
      </c>
      <c r="F2" s="324" t="s">
        <v>219</v>
      </c>
      <c r="G2" s="326" t="s">
        <v>217</v>
      </c>
      <c r="H2" s="485" t="s">
        <v>218</v>
      </c>
      <c r="I2" s="485" t="s">
        <v>220</v>
      </c>
      <c r="J2" s="328" t="s">
        <v>221</v>
      </c>
      <c r="K2" s="594"/>
      <c r="L2" s="596"/>
      <c r="M2" s="598"/>
      <c r="N2" s="587"/>
    </row>
    <row r="3" spans="1:15" outlineLevel="1" x14ac:dyDescent="0.4">
      <c r="A3" s="329" t="s">
        <v>222</v>
      </c>
      <c r="B3" s="496"/>
      <c r="C3" s="497"/>
      <c r="D3" s="401"/>
      <c r="E3" s="403"/>
      <c r="F3" s="403"/>
      <c r="G3" s="360"/>
      <c r="H3" s="404"/>
      <c r="I3" s="404"/>
      <c r="J3" s="361"/>
      <c r="K3" s="404"/>
      <c r="L3" s="361"/>
      <c r="M3" s="405"/>
      <c r="N3" s="347"/>
    </row>
    <row r="4" spans="1:15" outlineLevel="1" x14ac:dyDescent="0.4">
      <c r="A4" s="339" t="s">
        <v>223</v>
      </c>
      <c r="B4" s="498"/>
      <c r="C4" s="497"/>
      <c r="D4" s="406"/>
      <c r="E4" s="407"/>
      <c r="F4" s="407"/>
      <c r="G4" s="408"/>
      <c r="H4" s="409"/>
      <c r="I4" s="409"/>
      <c r="J4" s="410"/>
      <c r="K4" s="409"/>
      <c r="L4" s="361"/>
      <c r="M4" s="411"/>
      <c r="N4" s="347"/>
    </row>
    <row r="5" spans="1:15" outlineLevel="1" x14ac:dyDescent="0.4">
      <c r="A5" s="339" t="s">
        <v>224</v>
      </c>
      <c r="B5" s="498"/>
      <c r="C5" s="497"/>
      <c r="D5" s="406"/>
      <c r="E5" s="407"/>
      <c r="F5" s="407"/>
      <c r="G5" s="408"/>
      <c r="H5" s="409"/>
      <c r="I5" s="409"/>
      <c r="J5" s="410"/>
      <c r="K5" s="409"/>
      <c r="L5" s="361"/>
      <c r="M5" s="411"/>
      <c r="N5" s="347"/>
    </row>
    <row r="6" spans="1:15" outlineLevel="1" x14ac:dyDescent="0.4">
      <c r="A6" s="339" t="s">
        <v>225</v>
      </c>
      <c r="B6" s="498"/>
      <c r="C6" s="497"/>
      <c r="D6" s="406"/>
      <c r="E6" s="407"/>
      <c r="F6" s="407"/>
      <c r="G6" s="408"/>
      <c r="H6" s="409"/>
      <c r="I6" s="409"/>
      <c r="J6" s="410"/>
      <c r="K6" s="409"/>
      <c r="L6" s="361"/>
      <c r="M6" s="411"/>
      <c r="N6" s="347"/>
    </row>
    <row r="7" spans="1:15" outlineLevel="1" x14ac:dyDescent="0.4">
      <c r="A7" s="339" t="s">
        <v>226</v>
      </c>
      <c r="B7" s="498"/>
      <c r="C7" s="497"/>
      <c r="D7" s="406"/>
      <c r="E7" s="407"/>
      <c r="F7" s="407"/>
      <c r="G7" s="408"/>
      <c r="H7" s="409"/>
      <c r="I7" s="409"/>
      <c r="J7" s="410"/>
      <c r="K7" s="409"/>
      <c r="L7" s="361"/>
      <c r="M7" s="411"/>
      <c r="N7" s="347"/>
    </row>
    <row r="8" spans="1:15" s="382" customFormat="1" x14ac:dyDescent="0.25">
      <c r="A8" s="397" t="s">
        <v>227</v>
      </c>
      <c r="B8" s="324"/>
      <c r="C8" s="324"/>
      <c r="D8" s="324"/>
      <c r="E8" s="484"/>
      <c r="F8" s="484"/>
      <c r="G8" s="374"/>
      <c r="H8" s="484"/>
      <c r="I8" s="484"/>
      <c r="J8" s="499"/>
      <c r="K8" s="486"/>
      <c r="L8" s="420"/>
      <c r="M8" s="500"/>
      <c r="N8" s="501"/>
      <c r="O8" s="338"/>
    </row>
    <row r="9" spans="1:15" outlineLevel="1" x14ac:dyDescent="0.25">
      <c r="A9" s="339" t="s">
        <v>228</v>
      </c>
      <c r="B9" s="406"/>
      <c r="C9" s="497"/>
      <c r="D9" s="406"/>
      <c r="E9" s="407"/>
      <c r="F9" s="407"/>
      <c r="G9" s="408"/>
      <c r="H9" s="409"/>
      <c r="I9" s="409"/>
      <c r="J9" s="410"/>
      <c r="K9" s="409"/>
      <c r="L9" s="361"/>
      <c r="M9" s="411"/>
      <c r="N9" s="347"/>
    </row>
    <row r="10" spans="1:15" outlineLevel="1" x14ac:dyDescent="0.25">
      <c r="A10" s="329" t="s">
        <v>229</v>
      </c>
      <c r="B10" s="401"/>
      <c r="C10" s="401"/>
      <c r="D10" s="401"/>
      <c r="E10" s="403"/>
      <c r="F10" s="403"/>
      <c r="G10" s="360"/>
      <c r="H10" s="404"/>
      <c r="I10" s="404"/>
      <c r="J10" s="361"/>
      <c r="K10" s="404"/>
      <c r="L10" s="361"/>
      <c r="M10" s="405"/>
      <c r="N10" s="347"/>
    </row>
    <row r="11" spans="1:15" s="382" customFormat="1" x14ac:dyDescent="0.25">
      <c r="A11" s="397" t="s">
        <v>230</v>
      </c>
      <c r="B11" s="324"/>
      <c r="C11" s="324"/>
      <c r="D11" s="324"/>
      <c r="E11" s="484"/>
      <c r="F11" s="484"/>
      <c r="G11" s="374"/>
      <c r="H11" s="484"/>
      <c r="I11" s="484"/>
      <c r="J11" s="499"/>
      <c r="K11" s="484"/>
      <c r="L11" s="420"/>
      <c r="M11" s="500"/>
      <c r="N11" s="501"/>
      <c r="O11" s="338"/>
    </row>
    <row r="12" spans="1:15" outlineLevel="1" x14ac:dyDescent="0.25">
      <c r="A12" s="329" t="s">
        <v>231</v>
      </c>
      <c r="B12" s="401"/>
      <c r="C12" s="401"/>
      <c r="D12" s="401"/>
      <c r="E12" s="403"/>
      <c r="F12" s="403"/>
      <c r="G12" s="360"/>
      <c r="H12" s="404"/>
      <c r="I12" s="404"/>
      <c r="J12" s="361"/>
      <c r="K12" s="404"/>
      <c r="L12" s="361"/>
      <c r="M12" s="405"/>
      <c r="N12" s="347"/>
    </row>
    <row r="13" spans="1:15" outlineLevel="1" x14ac:dyDescent="0.25">
      <c r="A13" s="339" t="s">
        <v>232</v>
      </c>
      <c r="B13" s="406"/>
      <c r="C13" s="406"/>
      <c r="D13" s="406"/>
      <c r="E13" s="407"/>
      <c r="F13" s="407"/>
      <c r="G13" s="408"/>
      <c r="H13" s="409"/>
      <c r="I13" s="409"/>
      <c r="J13" s="410"/>
      <c r="K13" s="409"/>
      <c r="L13" s="361"/>
      <c r="M13" s="411"/>
      <c r="N13" s="347"/>
    </row>
    <row r="14" spans="1:15" s="382" customFormat="1" x14ac:dyDescent="0.25">
      <c r="A14" s="397" t="s">
        <v>233</v>
      </c>
      <c r="B14" s="324"/>
      <c r="C14" s="324"/>
      <c r="D14" s="324"/>
      <c r="E14" s="484"/>
      <c r="F14" s="484"/>
      <c r="G14" s="374"/>
      <c r="H14" s="484"/>
      <c r="I14" s="484"/>
      <c r="J14" s="499"/>
      <c r="K14" s="484"/>
      <c r="L14" s="420"/>
      <c r="M14" s="500"/>
      <c r="N14" s="501"/>
      <c r="O14" s="338"/>
    </row>
    <row r="15" spans="1:15" outlineLevel="1" x14ac:dyDescent="0.25">
      <c r="A15" s="339" t="s">
        <v>234</v>
      </c>
      <c r="B15" s="406"/>
      <c r="C15" s="497"/>
      <c r="D15" s="406"/>
      <c r="E15" s="407"/>
      <c r="F15" s="407"/>
      <c r="G15" s="408"/>
      <c r="H15" s="409"/>
      <c r="I15" s="409"/>
      <c r="J15" s="410"/>
      <c r="K15" s="409"/>
      <c r="L15" s="361"/>
      <c r="M15" s="411"/>
      <c r="N15" s="347"/>
    </row>
    <row r="16" spans="1:15" outlineLevel="1" x14ac:dyDescent="0.25">
      <c r="A16" s="329" t="s">
        <v>235</v>
      </c>
      <c r="B16" s="401"/>
      <c r="C16" s="497"/>
      <c r="D16" s="401"/>
      <c r="E16" s="403"/>
      <c r="F16" s="403"/>
      <c r="G16" s="360"/>
      <c r="H16" s="404"/>
      <c r="I16" s="404"/>
      <c r="J16" s="361"/>
      <c r="K16" s="404"/>
      <c r="L16" s="361"/>
      <c r="M16" s="405"/>
      <c r="N16" s="347"/>
    </row>
    <row r="17" spans="1:15" outlineLevel="1" x14ac:dyDescent="0.25">
      <c r="A17" s="329" t="s">
        <v>236</v>
      </c>
      <c r="B17" s="401"/>
      <c r="C17" s="497"/>
      <c r="D17" s="401"/>
      <c r="E17" s="403"/>
      <c r="F17" s="403"/>
      <c r="G17" s="360"/>
      <c r="H17" s="404"/>
      <c r="I17" s="404"/>
      <c r="J17" s="361"/>
      <c r="K17" s="404"/>
      <c r="L17" s="361"/>
      <c r="M17" s="405"/>
      <c r="N17" s="347"/>
    </row>
    <row r="18" spans="1:15" s="382" customFormat="1" x14ac:dyDescent="0.25">
      <c r="A18" s="397" t="s">
        <v>237</v>
      </c>
      <c r="B18" s="484"/>
      <c r="C18" s="484"/>
      <c r="D18" s="324"/>
      <c r="E18" s="484"/>
      <c r="F18" s="484"/>
      <c r="G18" s="374"/>
      <c r="H18" s="484"/>
      <c r="I18" s="484"/>
      <c r="J18" s="499"/>
      <c r="K18" s="484"/>
      <c r="L18" s="420"/>
      <c r="M18" s="500"/>
      <c r="N18" s="501"/>
      <c r="O18" s="338"/>
    </row>
    <row r="19" spans="1:15" s="351" customFormat="1" x14ac:dyDescent="0.4">
      <c r="A19" s="329" t="s">
        <v>238</v>
      </c>
      <c r="B19" s="401"/>
      <c r="C19" s="502"/>
      <c r="D19" s="401"/>
      <c r="E19" s="403"/>
      <c r="F19" s="403"/>
      <c r="G19" s="360"/>
      <c r="H19" s="404"/>
      <c r="I19" s="404"/>
      <c r="J19" s="361"/>
      <c r="K19" s="404"/>
      <c r="L19" s="361"/>
      <c r="M19" s="405"/>
      <c r="N19" s="503"/>
      <c r="O19" s="338"/>
    </row>
    <row r="20" spans="1:15" s="382" customFormat="1" x14ac:dyDescent="0.25">
      <c r="A20" s="397" t="s">
        <v>239</v>
      </c>
      <c r="B20" s="324"/>
      <c r="C20" s="324"/>
      <c r="D20" s="324"/>
      <c r="E20" s="484"/>
      <c r="F20" s="484"/>
      <c r="G20" s="374"/>
      <c r="H20" s="484"/>
      <c r="I20" s="484"/>
      <c r="J20" s="499"/>
      <c r="K20" s="484"/>
      <c r="L20" s="420"/>
      <c r="M20" s="500"/>
      <c r="N20" s="501"/>
      <c r="O20" s="338"/>
    </row>
    <row r="21" spans="1:15" s="356" customFormat="1" outlineLevel="1" x14ac:dyDescent="0.25">
      <c r="A21" s="339" t="s">
        <v>240</v>
      </c>
      <c r="B21" s="406"/>
      <c r="C21" s="406"/>
      <c r="D21" s="406"/>
      <c r="E21" s="407"/>
      <c r="F21" s="407"/>
      <c r="G21" s="408"/>
      <c r="H21" s="409"/>
      <c r="I21" s="409"/>
      <c r="J21" s="410"/>
      <c r="K21" s="409"/>
      <c r="L21" s="361"/>
      <c r="M21" s="411"/>
      <c r="N21" s="504"/>
      <c r="O21" s="338"/>
    </row>
    <row r="22" spans="1:15" outlineLevel="1" x14ac:dyDescent="0.4">
      <c r="A22" s="339" t="s">
        <v>241</v>
      </c>
      <c r="B22" s="406"/>
      <c r="C22" s="505"/>
      <c r="D22" s="406"/>
      <c r="E22" s="407"/>
      <c r="F22" s="407"/>
      <c r="G22" s="408"/>
      <c r="H22" s="409"/>
      <c r="I22" s="409"/>
      <c r="J22" s="410"/>
      <c r="K22" s="409"/>
      <c r="L22" s="361"/>
      <c r="M22" s="411"/>
      <c r="N22" s="347"/>
    </row>
    <row r="23" spans="1:15" s="382" customFormat="1" x14ac:dyDescent="0.25">
      <c r="A23" s="397" t="s">
        <v>242</v>
      </c>
      <c r="B23" s="324"/>
      <c r="C23" s="324"/>
      <c r="D23" s="324"/>
      <c r="E23" s="484"/>
      <c r="F23" s="484"/>
      <c r="G23" s="374"/>
      <c r="H23" s="484"/>
      <c r="I23" s="484"/>
      <c r="J23" s="499"/>
      <c r="K23" s="484"/>
      <c r="L23" s="420"/>
      <c r="M23" s="500"/>
      <c r="N23" s="501"/>
      <c r="O23" s="338"/>
    </row>
    <row r="24" spans="1:15" s="365" customFormat="1" hidden="1" x14ac:dyDescent="0.25">
      <c r="A24" s="397" t="s">
        <v>243</v>
      </c>
      <c r="B24" s="415"/>
      <c r="C24" s="415"/>
      <c r="D24" s="416"/>
      <c r="E24" s="415"/>
      <c r="F24" s="415"/>
      <c r="G24" s="416"/>
      <c r="H24" s="506"/>
      <c r="I24" s="506"/>
      <c r="J24" s="507"/>
      <c r="K24" s="419"/>
      <c r="L24" s="420"/>
      <c r="M24" s="508"/>
      <c r="N24" s="509"/>
      <c r="O24" s="338"/>
    </row>
    <row r="25" spans="1:15" s="365" customFormat="1" hidden="1" x14ac:dyDescent="0.25">
      <c r="A25" s="397" t="s">
        <v>244</v>
      </c>
      <c r="B25" s="415"/>
      <c r="C25" s="415"/>
      <c r="D25" s="416"/>
      <c r="E25" s="415"/>
      <c r="F25" s="415"/>
      <c r="G25" s="416"/>
      <c r="H25" s="506"/>
      <c r="I25" s="506"/>
      <c r="J25" s="507"/>
      <c r="K25" s="419"/>
      <c r="L25" s="420"/>
      <c r="M25" s="508"/>
      <c r="N25" s="509"/>
      <c r="O25" s="338"/>
    </row>
    <row r="26" spans="1:15" s="365" customFormat="1" hidden="1" x14ac:dyDescent="0.25">
      <c r="A26" s="397" t="s">
        <v>245</v>
      </c>
      <c r="B26" s="415"/>
      <c r="C26" s="415"/>
      <c r="D26" s="416"/>
      <c r="E26" s="415"/>
      <c r="F26" s="415"/>
      <c r="G26" s="416"/>
      <c r="H26" s="506"/>
      <c r="I26" s="506"/>
      <c r="J26" s="507"/>
      <c r="K26" s="419"/>
      <c r="L26" s="420"/>
      <c r="M26" s="508"/>
      <c r="N26" s="509"/>
      <c r="O26" s="338"/>
    </row>
    <row r="27" spans="1:15" s="365" customFormat="1" hidden="1" x14ac:dyDescent="0.25">
      <c r="A27" s="397" t="s">
        <v>246</v>
      </c>
      <c r="B27" s="415"/>
      <c r="C27" s="415"/>
      <c r="D27" s="416"/>
      <c r="E27" s="415"/>
      <c r="F27" s="415"/>
      <c r="G27" s="416"/>
      <c r="H27" s="506"/>
      <c r="I27" s="506"/>
      <c r="J27" s="507"/>
      <c r="K27" s="419"/>
      <c r="L27" s="420"/>
      <c r="M27" s="508"/>
      <c r="N27" s="509"/>
      <c r="O27" s="338"/>
    </row>
    <row r="28" spans="1:15" s="365" customFormat="1" hidden="1" x14ac:dyDescent="0.25">
      <c r="A28" s="397" t="s">
        <v>247</v>
      </c>
      <c r="B28" s="415"/>
      <c r="C28" s="415"/>
      <c r="D28" s="416"/>
      <c r="E28" s="415"/>
      <c r="F28" s="415"/>
      <c r="G28" s="416"/>
      <c r="H28" s="506"/>
      <c r="I28" s="506"/>
      <c r="J28" s="507"/>
      <c r="K28" s="419"/>
      <c r="L28" s="420"/>
      <c r="M28" s="508"/>
      <c r="N28" s="509"/>
      <c r="O28" s="338"/>
    </row>
    <row r="29" spans="1:15" s="365" customFormat="1" hidden="1" x14ac:dyDescent="0.25">
      <c r="A29" s="397" t="s">
        <v>248</v>
      </c>
      <c r="B29" s="415"/>
      <c r="C29" s="415"/>
      <c r="D29" s="416"/>
      <c r="E29" s="415"/>
      <c r="F29" s="415"/>
      <c r="G29" s="416"/>
      <c r="H29" s="506"/>
      <c r="I29" s="506"/>
      <c r="J29" s="507"/>
      <c r="K29" s="419"/>
      <c r="L29" s="420"/>
      <c r="M29" s="508"/>
      <c r="N29" s="509"/>
      <c r="O29" s="338"/>
    </row>
    <row r="30" spans="1:15" s="365" customFormat="1" hidden="1" x14ac:dyDescent="0.25">
      <c r="A30" s="397" t="s">
        <v>249</v>
      </c>
      <c r="B30" s="415"/>
      <c r="C30" s="415"/>
      <c r="D30" s="416"/>
      <c r="E30" s="415"/>
      <c r="F30" s="415"/>
      <c r="G30" s="416"/>
      <c r="H30" s="506"/>
      <c r="I30" s="506"/>
      <c r="J30" s="507"/>
      <c r="K30" s="419"/>
      <c r="L30" s="420"/>
      <c r="M30" s="508"/>
      <c r="N30" s="509"/>
      <c r="O30" s="338"/>
    </row>
    <row r="31" spans="1:15" s="365" customFormat="1" hidden="1" x14ac:dyDescent="0.25">
      <c r="A31" s="397" t="s">
        <v>250</v>
      </c>
      <c r="B31" s="415"/>
      <c r="C31" s="415"/>
      <c r="D31" s="416"/>
      <c r="E31" s="415"/>
      <c r="F31" s="415"/>
      <c r="G31" s="416"/>
      <c r="H31" s="506"/>
      <c r="I31" s="506"/>
      <c r="J31" s="507"/>
      <c r="K31" s="419"/>
      <c r="L31" s="420"/>
      <c r="M31" s="508"/>
      <c r="N31" s="509"/>
      <c r="O31" s="338"/>
    </row>
    <row r="32" spans="1:15" s="365" customFormat="1" hidden="1" x14ac:dyDescent="0.25">
      <c r="A32" s="397" t="s">
        <v>251</v>
      </c>
      <c r="B32" s="415"/>
      <c r="C32" s="415"/>
      <c r="D32" s="416"/>
      <c r="E32" s="415"/>
      <c r="F32" s="415"/>
      <c r="G32" s="416"/>
      <c r="H32" s="506"/>
      <c r="I32" s="506"/>
      <c r="J32" s="507"/>
      <c r="K32" s="419"/>
      <c r="L32" s="420"/>
      <c r="M32" s="508"/>
      <c r="N32" s="509"/>
      <c r="O32" s="338"/>
    </row>
    <row r="33" spans="1:15" s="365" customFormat="1" hidden="1" x14ac:dyDescent="0.25">
      <c r="A33" s="397" t="s">
        <v>252</v>
      </c>
      <c r="B33" s="415"/>
      <c r="C33" s="415"/>
      <c r="D33" s="416"/>
      <c r="E33" s="415"/>
      <c r="F33" s="415"/>
      <c r="G33" s="416"/>
      <c r="H33" s="506"/>
      <c r="I33" s="506"/>
      <c r="J33" s="507"/>
      <c r="K33" s="419"/>
      <c r="L33" s="420"/>
      <c r="M33" s="508"/>
      <c r="N33" s="509"/>
      <c r="O33" s="338"/>
    </row>
    <row r="34" spans="1:15" s="365" customFormat="1" hidden="1" x14ac:dyDescent="0.25">
      <c r="A34" s="397" t="s">
        <v>253</v>
      </c>
      <c r="B34" s="415"/>
      <c r="C34" s="415"/>
      <c r="D34" s="416"/>
      <c r="E34" s="415"/>
      <c r="F34" s="415"/>
      <c r="G34" s="416"/>
      <c r="H34" s="506"/>
      <c r="I34" s="506"/>
      <c r="J34" s="507"/>
      <c r="K34" s="419"/>
      <c r="L34" s="420"/>
      <c r="M34" s="508"/>
      <c r="N34" s="509"/>
      <c r="O34" s="338"/>
    </row>
    <row r="35" spans="1:15" s="365" customFormat="1" hidden="1" x14ac:dyDescent="0.25">
      <c r="A35" s="397" t="s">
        <v>254</v>
      </c>
      <c r="B35" s="415"/>
      <c r="C35" s="415"/>
      <c r="D35" s="416"/>
      <c r="E35" s="415"/>
      <c r="F35" s="415"/>
      <c r="G35" s="416"/>
      <c r="H35" s="506"/>
      <c r="I35" s="506"/>
      <c r="J35" s="507"/>
      <c r="K35" s="419"/>
      <c r="L35" s="420"/>
      <c r="M35" s="508"/>
      <c r="N35" s="509"/>
      <c r="O35" s="338"/>
    </row>
    <row r="36" spans="1:15" s="382" customFormat="1" x14ac:dyDescent="0.25">
      <c r="A36" s="397" t="s">
        <v>255</v>
      </c>
      <c r="B36" s="324"/>
      <c r="C36" s="324"/>
      <c r="D36" s="324"/>
      <c r="E36" s="484"/>
      <c r="F36" s="484"/>
      <c r="G36" s="374"/>
      <c r="H36" s="486"/>
      <c r="I36" s="486"/>
      <c r="J36" s="499"/>
      <c r="K36" s="486"/>
      <c r="L36" s="420"/>
      <c r="M36" s="500"/>
      <c r="N36" s="510"/>
      <c r="O36" s="338"/>
    </row>
    <row r="37" spans="1:15" x14ac:dyDescent="0.25">
      <c r="A37" s="368" t="s">
        <v>256</v>
      </c>
      <c r="B37" s="406"/>
      <c r="C37" s="406"/>
      <c r="D37" s="406"/>
      <c r="E37" s="407"/>
      <c r="F37" s="407"/>
      <c r="G37" s="408"/>
      <c r="H37" s="409"/>
      <c r="I37" s="409"/>
      <c r="J37" s="410"/>
      <c r="K37" s="409"/>
      <c r="L37" s="361"/>
      <c r="M37" s="411"/>
      <c r="N37" s="347"/>
    </row>
    <row r="38" spans="1:15" x14ac:dyDescent="0.25">
      <c r="A38" s="368" t="s">
        <v>257</v>
      </c>
      <c r="B38" s="406"/>
      <c r="C38" s="406"/>
      <c r="D38" s="406"/>
      <c r="E38" s="407"/>
      <c r="F38" s="407"/>
      <c r="G38" s="408"/>
      <c r="H38" s="409"/>
      <c r="I38" s="409"/>
      <c r="J38" s="410"/>
      <c r="K38" s="409"/>
      <c r="L38" s="361"/>
      <c r="M38" s="411"/>
      <c r="N38" s="347"/>
    </row>
    <row r="39" spans="1:15" x14ac:dyDescent="0.25">
      <c r="A39" s="368" t="s">
        <v>258</v>
      </c>
      <c r="B39" s="406"/>
      <c r="C39" s="406"/>
      <c r="D39" s="406"/>
      <c r="E39" s="407"/>
      <c r="F39" s="407"/>
      <c r="G39" s="408"/>
      <c r="H39" s="409"/>
      <c r="I39" s="409"/>
      <c r="J39" s="410"/>
      <c r="K39" s="409"/>
      <c r="L39" s="361"/>
      <c r="M39" s="411"/>
      <c r="N39" s="347"/>
    </row>
    <row r="40" spans="1:15" x14ac:dyDescent="0.25">
      <c r="A40" s="368" t="s">
        <v>259</v>
      </c>
      <c r="B40" s="406"/>
      <c r="C40" s="406"/>
      <c r="D40" s="406"/>
      <c r="E40" s="407"/>
      <c r="F40" s="407"/>
      <c r="G40" s="408"/>
      <c r="H40" s="409"/>
      <c r="I40" s="409"/>
      <c r="J40" s="410"/>
      <c r="K40" s="409"/>
      <c r="L40" s="361"/>
      <c r="M40" s="411"/>
      <c r="N40" s="347"/>
    </row>
    <row r="41" spans="1:15" x14ac:dyDescent="0.25">
      <c r="A41" s="329" t="s">
        <v>260</v>
      </c>
      <c r="B41" s="422"/>
      <c r="C41" s="422"/>
      <c r="D41" s="359"/>
      <c r="E41" s="422"/>
      <c r="F41" s="422"/>
      <c r="G41" s="359"/>
      <c r="H41" s="511"/>
      <c r="I41" s="511"/>
      <c r="J41" s="512"/>
      <c r="K41" s="404"/>
      <c r="L41" s="361"/>
      <c r="M41" s="513"/>
      <c r="N41" s="509"/>
    </row>
    <row r="42" spans="1:15" s="382" customFormat="1" x14ac:dyDescent="0.25">
      <c r="A42" s="324" t="s">
        <v>261</v>
      </c>
      <c r="B42" s="324"/>
      <c r="C42" s="324"/>
      <c r="D42" s="326"/>
      <c r="E42" s="324"/>
      <c r="F42" s="324"/>
      <c r="G42" s="326"/>
      <c r="H42" s="324"/>
      <c r="I42" s="324"/>
      <c r="J42" s="373"/>
      <c r="K42" s="324"/>
      <c r="L42" s="373"/>
      <c r="M42" s="514"/>
      <c r="N42" s="515"/>
    </row>
    <row r="43" spans="1:15" x14ac:dyDescent="0.25">
      <c r="A43" s="368" t="s">
        <v>262</v>
      </c>
      <c r="B43" s="406"/>
      <c r="C43" s="406"/>
      <c r="D43" s="406"/>
      <c r="E43" s="407"/>
      <c r="F43" s="407"/>
      <c r="G43" s="408"/>
      <c r="H43" s="409"/>
      <c r="I43" s="409"/>
      <c r="J43" s="410"/>
      <c r="K43" s="409"/>
      <c r="L43" s="361"/>
      <c r="M43" s="411"/>
      <c r="N43" s="347"/>
    </row>
    <row r="44" spans="1:15" x14ac:dyDescent="0.25">
      <c r="A44" s="368" t="s">
        <v>263</v>
      </c>
      <c r="B44" s="406"/>
      <c r="C44" s="406"/>
      <c r="D44" s="406"/>
      <c r="E44" s="407"/>
      <c r="F44" s="407"/>
      <c r="G44" s="408"/>
      <c r="H44" s="409"/>
      <c r="I44" s="409"/>
      <c r="J44" s="410"/>
      <c r="K44" s="409"/>
      <c r="L44" s="361"/>
      <c r="M44" s="411"/>
      <c r="N44" s="347"/>
    </row>
    <row r="45" spans="1:15" x14ac:dyDescent="0.25">
      <c r="A45" s="368" t="s">
        <v>264</v>
      </c>
      <c r="B45" s="406"/>
      <c r="C45" s="406"/>
      <c r="D45" s="406"/>
      <c r="E45" s="407"/>
      <c r="F45" s="407"/>
      <c r="G45" s="408"/>
      <c r="H45" s="409"/>
      <c r="I45" s="409"/>
      <c r="J45" s="410"/>
      <c r="K45" s="409"/>
      <c r="L45" s="361"/>
      <c r="M45" s="411"/>
      <c r="N45" s="347"/>
    </row>
    <row r="46" spans="1:15" s="382" customFormat="1" x14ac:dyDescent="0.25">
      <c r="A46" s="324" t="s">
        <v>265</v>
      </c>
      <c r="B46" s="324"/>
      <c r="C46" s="324"/>
      <c r="D46" s="324"/>
      <c r="E46" s="324"/>
      <c r="F46" s="324"/>
      <c r="G46" s="374"/>
      <c r="H46" s="324"/>
      <c r="I46" s="324"/>
      <c r="J46" s="373"/>
      <c r="K46" s="324"/>
      <c r="L46" s="373"/>
      <c r="M46" s="413"/>
      <c r="N46" s="516"/>
    </row>
    <row r="47" spans="1:15" x14ac:dyDescent="0.25">
      <c r="A47" s="375" t="s">
        <v>266</v>
      </c>
      <c r="B47" s="375"/>
      <c r="C47" s="375"/>
      <c r="D47" s="375"/>
      <c r="E47" s="375"/>
      <c r="F47" s="375"/>
      <c r="G47" s="423"/>
      <c r="H47" s="375"/>
      <c r="I47" s="375"/>
      <c r="J47" s="494"/>
      <c r="K47" s="375"/>
      <c r="L47" s="494"/>
      <c r="M47" s="424"/>
      <c r="N47" s="517"/>
    </row>
    <row r="48" spans="1:15" ht="14.4" customHeight="1" x14ac:dyDescent="0.25"/>
  </sheetData>
  <mergeCells count="7">
    <mergeCell ref="N1:N2"/>
    <mergeCell ref="B1:D1"/>
    <mergeCell ref="E1:G1"/>
    <mergeCell ref="H1:J1"/>
    <mergeCell ref="K1:K2"/>
    <mergeCell ref="L1:L2"/>
    <mergeCell ref="M1:M2"/>
  </mergeCells>
  <phoneticPr fontId="6" type="noConversion"/>
  <pageMargins left="0.16" right="0.16" top="0.27" bottom="0.2" header="0.22" footer="0.16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9"/>
  <sheetViews>
    <sheetView zoomScale="70" zoomScaleNormal="70" workbookViewId="0">
      <pane xSplit="1" ySplit="2" topLeftCell="N11" activePane="bottomRight" state="frozen"/>
      <selection activeCell="K56" sqref="K56"/>
      <selection pane="topRight" activeCell="K56" sqref="K56"/>
      <selection pane="bottomLeft" activeCell="K56" sqref="K56"/>
      <selection pane="bottomRight" activeCell="B3" sqref="B3:V50"/>
    </sheetView>
  </sheetViews>
  <sheetFormatPr defaultColWidth="8.88671875" defaultRowHeight="15.6" outlineLevelRow="1" x14ac:dyDescent="0.25"/>
  <cols>
    <col min="1" max="1" width="26.33203125" style="321" customWidth="1"/>
    <col min="2" max="3" width="9.33203125" style="254" bestFit="1" customWidth="1"/>
    <col min="4" max="4" width="11.109375" style="322" bestFit="1" customWidth="1"/>
    <col min="5" max="6" width="9.33203125" style="254" bestFit="1" customWidth="1"/>
    <col min="7" max="7" width="11.109375" style="322" bestFit="1" customWidth="1"/>
    <col min="8" max="8" width="9.33203125" style="254" bestFit="1" customWidth="1"/>
    <col min="9" max="9" width="11.6640625" style="254" bestFit="1" customWidth="1"/>
    <col min="10" max="10" width="9.33203125" style="254" bestFit="1" customWidth="1"/>
    <col min="11" max="11" width="9" style="254" bestFit="1" customWidth="1"/>
    <col min="12" max="12" width="11.109375" style="322" bestFit="1" customWidth="1"/>
    <col min="13" max="13" width="10" style="322" bestFit="1" customWidth="1"/>
    <col min="14" max="14" width="9.33203125" style="254" bestFit="1" customWidth="1"/>
    <col min="15" max="15" width="9" style="254" bestFit="1" customWidth="1"/>
    <col min="16" max="17" width="19" style="322" customWidth="1"/>
    <col min="18" max="18" width="34.44140625" style="322" customWidth="1"/>
    <col min="19" max="19" width="33.21875" style="254" customWidth="1"/>
    <col min="20" max="16384" width="8.88671875" style="254"/>
  </cols>
  <sheetData>
    <row r="1" spans="1:19" s="238" customFormat="1" ht="21" customHeight="1" x14ac:dyDescent="0.25">
      <c r="A1" s="237" t="s">
        <v>207</v>
      </c>
      <c r="B1" s="603" t="s">
        <v>208</v>
      </c>
      <c r="C1" s="604"/>
      <c r="D1" s="605"/>
      <c r="E1" s="606" t="s">
        <v>209</v>
      </c>
      <c r="F1" s="606"/>
      <c r="G1" s="606"/>
      <c r="H1" s="607" t="s">
        <v>210</v>
      </c>
      <c r="I1" s="608"/>
      <c r="J1" s="608"/>
      <c r="K1" s="608"/>
      <c r="L1" s="608"/>
      <c r="M1" s="609" t="s">
        <v>267</v>
      </c>
      <c r="N1" s="609"/>
      <c r="O1" s="609"/>
      <c r="P1" s="609" t="s">
        <v>268</v>
      </c>
      <c r="Q1" s="601" t="s">
        <v>269</v>
      </c>
      <c r="R1" s="599" t="s">
        <v>270</v>
      </c>
      <c r="S1" s="601" t="s">
        <v>271</v>
      </c>
    </row>
    <row r="2" spans="1:19" s="238" customFormat="1" x14ac:dyDescent="0.25">
      <c r="A2" s="237" t="s">
        <v>214</v>
      </c>
      <c r="B2" s="237" t="s">
        <v>215</v>
      </c>
      <c r="C2" s="237" t="s">
        <v>272</v>
      </c>
      <c r="D2" s="239" t="s">
        <v>221</v>
      </c>
      <c r="E2" s="237" t="s">
        <v>218</v>
      </c>
      <c r="F2" s="237" t="s">
        <v>273</v>
      </c>
      <c r="G2" s="239" t="s">
        <v>221</v>
      </c>
      <c r="H2" s="240" t="s">
        <v>218</v>
      </c>
      <c r="I2" s="241" t="s">
        <v>274</v>
      </c>
      <c r="J2" s="240" t="s">
        <v>220</v>
      </c>
      <c r="K2" s="242" t="s">
        <v>275</v>
      </c>
      <c r="L2" s="243" t="s">
        <v>221</v>
      </c>
      <c r="M2" s="241" t="s">
        <v>274</v>
      </c>
      <c r="N2" s="240" t="s">
        <v>276</v>
      </c>
      <c r="O2" s="240" t="s">
        <v>275</v>
      </c>
      <c r="P2" s="609"/>
      <c r="Q2" s="602"/>
      <c r="R2" s="600"/>
      <c r="S2" s="602"/>
    </row>
    <row r="3" spans="1:19" ht="15" customHeight="1" outlineLevel="1" x14ac:dyDescent="0.25">
      <c r="A3" s="244" t="s">
        <v>222</v>
      </c>
      <c r="B3" s="245"/>
      <c r="C3" s="245"/>
      <c r="D3" s="246"/>
      <c r="E3" s="245"/>
      <c r="F3" s="245"/>
      <c r="G3" s="246"/>
      <c r="H3" s="247"/>
      <c r="I3" s="248"/>
      <c r="J3" s="247"/>
      <c r="K3" s="249"/>
      <c r="L3" s="249"/>
      <c r="M3" s="250"/>
      <c r="N3" s="251"/>
      <c r="O3" s="249"/>
      <c r="P3" s="249"/>
      <c r="Q3" s="252"/>
      <c r="R3" s="249"/>
      <c r="S3" s="253"/>
    </row>
    <row r="4" spans="1:19" ht="15" customHeight="1" outlineLevel="1" x14ac:dyDescent="0.25">
      <c r="A4" s="255" t="s">
        <v>223</v>
      </c>
      <c r="B4" s="245"/>
      <c r="C4" s="245"/>
      <c r="D4" s="246"/>
      <c r="E4" s="245"/>
      <c r="F4" s="245"/>
      <c r="G4" s="246"/>
      <c r="H4" s="256"/>
      <c r="I4" s="257"/>
      <c r="J4" s="256"/>
      <c r="K4" s="258"/>
      <c r="L4" s="258"/>
      <c r="M4" s="250"/>
      <c r="N4" s="259"/>
      <c r="O4" s="258"/>
      <c r="P4" s="249"/>
      <c r="Q4" s="252"/>
      <c r="R4" s="260"/>
      <c r="S4" s="253"/>
    </row>
    <row r="5" spans="1:19" ht="15" customHeight="1" outlineLevel="1" x14ac:dyDescent="0.25">
      <c r="A5" s="255" t="s">
        <v>224</v>
      </c>
      <c r="B5" s="245"/>
      <c r="C5" s="245"/>
      <c r="D5" s="246"/>
      <c r="E5" s="245"/>
      <c r="F5" s="245"/>
      <c r="G5" s="246"/>
      <c r="H5" s="256"/>
      <c r="I5" s="257"/>
      <c r="J5" s="256"/>
      <c r="K5" s="258"/>
      <c r="L5" s="258"/>
      <c r="M5" s="250"/>
      <c r="N5" s="259"/>
      <c r="O5" s="258"/>
      <c r="P5" s="249"/>
      <c r="Q5" s="252"/>
      <c r="R5" s="260"/>
      <c r="S5" s="253"/>
    </row>
    <row r="6" spans="1:19" ht="15" customHeight="1" outlineLevel="1" x14ac:dyDescent="0.25">
      <c r="A6" s="244" t="s">
        <v>225</v>
      </c>
      <c r="B6" s="245"/>
      <c r="C6" s="245"/>
      <c r="D6" s="246"/>
      <c r="E6" s="245"/>
      <c r="F6" s="245"/>
      <c r="G6" s="246"/>
      <c r="H6" s="256"/>
      <c r="I6" s="257"/>
      <c r="J6" s="256"/>
      <c r="K6" s="258"/>
      <c r="L6" s="249"/>
      <c r="M6" s="250"/>
      <c r="N6" s="251"/>
      <c r="O6" s="249"/>
      <c r="P6" s="249"/>
      <c r="Q6" s="252"/>
      <c r="R6" s="249"/>
      <c r="S6" s="253"/>
    </row>
    <row r="7" spans="1:19" ht="15" customHeight="1" outlineLevel="1" x14ac:dyDescent="0.25">
      <c r="A7" s="244" t="s">
        <v>226</v>
      </c>
      <c r="B7" s="245"/>
      <c r="C7" s="245"/>
      <c r="D7" s="246"/>
      <c r="E7" s="245"/>
      <c r="F7" s="245"/>
      <c r="G7" s="246"/>
      <c r="H7" s="247"/>
      <c r="I7" s="248"/>
      <c r="J7" s="247"/>
      <c r="K7" s="249"/>
      <c r="L7" s="249"/>
      <c r="M7" s="250"/>
      <c r="N7" s="251"/>
      <c r="O7" s="249"/>
      <c r="P7" s="249"/>
      <c r="Q7" s="252"/>
      <c r="R7" s="261"/>
      <c r="S7" s="253"/>
    </row>
    <row r="8" spans="1:19" s="238" customFormat="1" ht="15" customHeight="1" x14ac:dyDescent="0.25">
      <c r="A8" s="262" t="s">
        <v>227</v>
      </c>
      <c r="B8" s="263"/>
      <c r="C8" s="263"/>
      <c r="D8" s="239"/>
      <c r="E8" s="263"/>
      <c r="F8" s="263"/>
      <c r="G8" s="239"/>
      <c r="H8" s="263"/>
      <c r="I8" s="237"/>
      <c r="J8" s="263"/>
      <c r="K8" s="264"/>
      <c r="L8" s="264"/>
      <c r="M8" s="265"/>
      <c r="N8" s="263"/>
      <c r="O8" s="264"/>
      <c r="P8" s="266"/>
      <c r="Q8" s="267"/>
      <c r="R8" s="264"/>
      <c r="S8" s="240"/>
    </row>
    <row r="9" spans="1:19" ht="15" customHeight="1" outlineLevel="1" x14ac:dyDescent="0.25">
      <c r="A9" s="255" t="s">
        <v>228</v>
      </c>
      <c r="B9" s="245"/>
      <c r="C9" s="245"/>
      <c r="D9" s="246"/>
      <c r="E9" s="245"/>
      <c r="F9" s="245"/>
      <c r="G9" s="246"/>
      <c r="H9" s="256"/>
      <c r="I9" s="268"/>
      <c r="J9" s="256"/>
      <c r="K9" s="258"/>
      <c r="L9" s="258"/>
      <c r="M9" s="250"/>
      <c r="N9" s="259"/>
      <c r="O9" s="258"/>
      <c r="P9" s="249"/>
      <c r="Q9" s="252"/>
      <c r="R9" s="258"/>
      <c r="S9" s="253"/>
    </row>
    <row r="10" spans="1:19" ht="15" customHeight="1" outlineLevel="1" x14ac:dyDescent="0.25">
      <c r="A10" s="244" t="s">
        <v>229</v>
      </c>
      <c r="B10" s="245"/>
      <c r="C10" s="245"/>
      <c r="D10" s="246"/>
      <c r="E10" s="245"/>
      <c r="F10" s="245"/>
      <c r="G10" s="246"/>
      <c r="H10" s="247"/>
      <c r="I10" s="268"/>
      <c r="J10" s="247"/>
      <c r="K10" s="249"/>
      <c r="L10" s="249"/>
      <c r="M10" s="250"/>
      <c r="N10" s="251"/>
      <c r="O10" s="249"/>
      <c r="P10" s="249"/>
      <c r="Q10" s="252"/>
      <c r="R10" s="249"/>
      <c r="S10" s="253"/>
    </row>
    <row r="11" spans="1:19" s="238" customFormat="1" ht="15" customHeight="1" x14ac:dyDescent="0.25">
      <c r="A11" s="262" t="s">
        <v>230</v>
      </c>
      <c r="B11" s="263"/>
      <c r="C11" s="263"/>
      <c r="D11" s="239"/>
      <c r="E11" s="263"/>
      <c r="F11" s="263"/>
      <c r="G11" s="239"/>
      <c r="H11" s="263"/>
      <c r="I11" s="237"/>
      <c r="J11" s="263"/>
      <c r="K11" s="264"/>
      <c r="L11" s="264"/>
      <c r="M11" s="265"/>
      <c r="N11" s="263"/>
      <c r="O11" s="264"/>
      <c r="P11" s="266"/>
      <c r="Q11" s="267"/>
      <c r="R11" s="264"/>
      <c r="S11" s="240"/>
    </row>
    <row r="12" spans="1:19" ht="15" customHeight="1" outlineLevel="1" x14ac:dyDescent="0.25">
      <c r="A12" s="255" t="s">
        <v>231</v>
      </c>
      <c r="B12" s="245"/>
      <c r="C12" s="245"/>
      <c r="D12" s="246"/>
      <c r="E12" s="245"/>
      <c r="F12" s="245"/>
      <c r="G12" s="246"/>
      <c r="H12" s="256"/>
      <c r="I12" s="257"/>
      <c r="J12" s="256"/>
      <c r="K12" s="258"/>
      <c r="L12" s="258"/>
      <c r="M12" s="269"/>
      <c r="N12" s="259"/>
      <c r="O12" s="258"/>
      <c r="P12" s="249"/>
      <c r="Q12" s="252"/>
      <c r="R12" s="260"/>
      <c r="S12" s="270"/>
    </row>
    <row r="13" spans="1:19" ht="15" customHeight="1" outlineLevel="1" x14ac:dyDescent="0.25">
      <c r="A13" s="255" t="s">
        <v>277</v>
      </c>
      <c r="B13" s="245"/>
      <c r="C13" s="245"/>
      <c r="D13" s="246"/>
      <c r="E13" s="245"/>
      <c r="F13" s="245"/>
      <c r="G13" s="246"/>
      <c r="H13" s="256"/>
      <c r="I13" s="257"/>
      <c r="J13" s="256"/>
      <c r="K13" s="258"/>
      <c r="L13" s="258"/>
      <c r="M13" s="250"/>
      <c r="N13" s="259"/>
      <c r="O13" s="258"/>
      <c r="P13" s="249"/>
      <c r="Q13" s="252"/>
      <c r="R13" s="260"/>
      <c r="S13" s="253"/>
    </row>
    <row r="14" spans="1:19" s="238" customFormat="1" ht="15" customHeight="1" x14ac:dyDescent="0.25">
      <c r="A14" s="262" t="s">
        <v>233</v>
      </c>
      <c r="B14" s="263"/>
      <c r="C14" s="263"/>
      <c r="D14" s="239"/>
      <c r="E14" s="263"/>
      <c r="F14" s="263"/>
      <c r="G14" s="239"/>
      <c r="H14" s="263"/>
      <c r="I14" s="263"/>
      <c r="J14" s="263"/>
      <c r="K14" s="264"/>
      <c r="L14" s="264"/>
      <c r="M14" s="265"/>
      <c r="N14" s="271"/>
      <c r="O14" s="264"/>
      <c r="P14" s="266"/>
      <c r="Q14" s="267"/>
      <c r="R14" s="264"/>
      <c r="S14" s="240"/>
    </row>
    <row r="15" spans="1:19" ht="15" customHeight="1" outlineLevel="1" x14ac:dyDescent="0.25">
      <c r="A15" s="255" t="s">
        <v>234</v>
      </c>
      <c r="B15" s="245"/>
      <c r="C15" s="245"/>
      <c r="D15" s="246"/>
      <c r="E15" s="245"/>
      <c r="F15" s="245"/>
      <c r="G15" s="246"/>
      <c r="H15" s="256"/>
      <c r="I15" s="257"/>
      <c r="J15" s="256"/>
      <c r="K15" s="258"/>
      <c r="L15" s="258"/>
      <c r="M15" s="250"/>
      <c r="N15" s="259"/>
      <c r="O15" s="258"/>
      <c r="P15" s="249"/>
      <c r="Q15" s="252"/>
      <c r="R15" s="258"/>
      <c r="S15" s="253"/>
    </row>
    <row r="16" spans="1:19" ht="15" customHeight="1" outlineLevel="1" x14ac:dyDescent="0.25">
      <c r="A16" s="244" t="s">
        <v>235</v>
      </c>
      <c r="B16" s="245"/>
      <c r="C16" s="245"/>
      <c r="D16" s="246"/>
      <c r="E16" s="245"/>
      <c r="F16" s="245"/>
      <c r="G16" s="246"/>
      <c r="H16" s="247"/>
      <c r="I16" s="248"/>
      <c r="J16" s="247"/>
      <c r="K16" s="249"/>
      <c r="L16" s="249"/>
      <c r="M16" s="250"/>
      <c r="N16" s="251"/>
      <c r="O16" s="249"/>
      <c r="P16" s="249"/>
      <c r="Q16" s="252"/>
      <c r="R16" s="249"/>
      <c r="S16" s="253"/>
    </row>
    <row r="17" spans="1:19" ht="15" customHeight="1" outlineLevel="1" x14ac:dyDescent="0.25">
      <c r="A17" s="244" t="s">
        <v>278</v>
      </c>
      <c r="B17" s="245"/>
      <c r="C17" s="245"/>
      <c r="D17" s="246"/>
      <c r="E17" s="245"/>
      <c r="F17" s="245"/>
      <c r="G17" s="246"/>
      <c r="H17" s="256"/>
      <c r="I17" s="257"/>
      <c r="J17" s="256"/>
      <c r="K17" s="258"/>
      <c r="L17" s="249"/>
      <c r="M17" s="250"/>
      <c r="N17" s="251"/>
      <c r="O17" s="249"/>
      <c r="P17" s="249"/>
      <c r="Q17" s="252"/>
      <c r="R17" s="249"/>
      <c r="S17" s="253"/>
    </row>
    <row r="18" spans="1:19" s="238" customFormat="1" ht="15" customHeight="1" x14ac:dyDescent="0.25">
      <c r="A18" s="262" t="s">
        <v>237</v>
      </c>
      <c r="B18" s="263"/>
      <c r="C18" s="263"/>
      <c r="D18" s="239"/>
      <c r="E18" s="263"/>
      <c r="F18" s="263"/>
      <c r="G18" s="239"/>
      <c r="H18" s="263"/>
      <c r="I18" s="263"/>
      <c r="J18" s="263"/>
      <c r="K18" s="264"/>
      <c r="L18" s="264"/>
      <c r="M18" s="265"/>
      <c r="N18" s="271"/>
      <c r="O18" s="264"/>
      <c r="P18" s="266"/>
      <c r="Q18" s="267"/>
      <c r="R18" s="264"/>
      <c r="S18" s="240"/>
    </row>
    <row r="19" spans="1:19" s="274" customFormat="1" ht="15" customHeight="1" x14ac:dyDescent="0.25">
      <c r="A19" s="244" t="s">
        <v>238</v>
      </c>
      <c r="B19" s="272"/>
      <c r="C19" s="272"/>
      <c r="D19" s="246"/>
      <c r="E19" s="272"/>
      <c r="F19" s="272"/>
      <c r="G19" s="246"/>
      <c r="H19" s="247"/>
      <c r="I19" s="248"/>
      <c r="J19" s="247"/>
      <c r="K19" s="249"/>
      <c r="L19" s="249"/>
      <c r="M19" s="250"/>
      <c r="N19" s="251"/>
      <c r="O19" s="249"/>
      <c r="P19" s="249"/>
      <c r="Q19" s="252"/>
      <c r="R19" s="249"/>
      <c r="S19" s="273"/>
    </row>
    <row r="20" spans="1:19" s="238" customFormat="1" ht="15" customHeight="1" x14ac:dyDescent="0.25">
      <c r="A20" s="262" t="s">
        <v>239</v>
      </c>
      <c r="B20" s="263"/>
      <c r="C20" s="263"/>
      <c r="D20" s="239"/>
      <c r="E20" s="263"/>
      <c r="F20" s="263"/>
      <c r="G20" s="239"/>
      <c r="H20" s="263"/>
      <c r="I20" s="263"/>
      <c r="J20" s="263"/>
      <c r="K20" s="264"/>
      <c r="L20" s="264"/>
      <c r="M20" s="265"/>
      <c r="N20" s="271"/>
      <c r="O20" s="264"/>
      <c r="P20" s="266"/>
      <c r="Q20" s="267"/>
      <c r="R20" s="264"/>
      <c r="S20" s="240"/>
    </row>
    <row r="21" spans="1:19" s="280" customFormat="1" ht="15" customHeight="1" outlineLevel="1" x14ac:dyDescent="0.25">
      <c r="A21" s="255" t="s">
        <v>240</v>
      </c>
      <c r="B21" s="245"/>
      <c r="C21" s="245"/>
      <c r="D21" s="246"/>
      <c r="E21" s="275"/>
      <c r="F21" s="275"/>
      <c r="G21" s="246"/>
      <c r="H21" s="276"/>
      <c r="I21" s="277"/>
      <c r="J21" s="276"/>
      <c r="K21" s="278"/>
      <c r="L21" s="258"/>
      <c r="M21" s="250"/>
      <c r="N21" s="259"/>
      <c r="O21" s="258"/>
      <c r="P21" s="249"/>
      <c r="Q21" s="252"/>
      <c r="R21" s="258"/>
      <c r="S21" s="279"/>
    </row>
    <row r="22" spans="1:19" ht="15" customHeight="1" outlineLevel="1" x14ac:dyDescent="0.25">
      <c r="A22" s="244" t="s">
        <v>241</v>
      </c>
      <c r="B22" s="245"/>
      <c r="C22" s="245"/>
      <c r="D22" s="246"/>
      <c r="E22" s="245"/>
      <c r="F22" s="245"/>
      <c r="G22" s="246"/>
      <c r="H22" s="247"/>
      <c r="I22" s="248"/>
      <c r="J22" s="247"/>
      <c r="K22" s="249"/>
      <c r="L22" s="249"/>
      <c r="M22" s="250"/>
      <c r="N22" s="251"/>
      <c r="O22" s="249"/>
      <c r="P22" s="249"/>
      <c r="Q22" s="252"/>
      <c r="R22" s="249"/>
      <c r="S22" s="253"/>
    </row>
    <row r="23" spans="1:19" s="238" customFormat="1" ht="15" customHeight="1" x14ac:dyDescent="0.25">
      <c r="A23" s="262" t="s">
        <v>242</v>
      </c>
      <c r="B23" s="263"/>
      <c r="C23" s="263"/>
      <c r="D23" s="239"/>
      <c r="E23" s="263"/>
      <c r="F23" s="263"/>
      <c r="G23" s="239"/>
      <c r="H23" s="281"/>
      <c r="I23" s="281"/>
      <c r="J23" s="281"/>
      <c r="K23" s="264"/>
      <c r="L23" s="264"/>
      <c r="M23" s="265"/>
      <c r="N23" s="271"/>
      <c r="O23" s="264"/>
      <c r="P23" s="266"/>
      <c r="Q23" s="267"/>
      <c r="R23" s="264"/>
      <c r="S23" s="240"/>
    </row>
    <row r="24" spans="1:19" s="238" customFormat="1" ht="15" hidden="1" customHeight="1" x14ac:dyDescent="0.25">
      <c r="A24" s="262" t="s">
        <v>243</v>
      </c>
      <c r="B24" s="282"/>
      <c r="C24" s="282"/>
      <c r="D24" s="283"/>
      <c r="E24" s="284"/>
      <c r="F24" s="284"/>
      <c r="G24" s="285"/>
      <c r="H24" s="286"/>
      <c r="I24" s="287"/>
      <c r="J24" s="286"/>
      <c r="K24" s="288"/>
      <c r="L24" s="288"/>
      <c r="M24" s="289"/>
      <c r="N24" s="286"/>
      <c r="O24" s="290"/>
      <c r="P24" s="266"/>
      <c r="Q24" s="267"/>
      <c r="R24" s="291"/>
      <c r="S24" s="240"/>
    </row>
    <row r="25" spans="1:19" s="238" customFormat="1" ht="15" hidden="1" customHeight="1" x14ac:dyDescent="0.25">
      <c r="A25" s="262" t="s">
        <v>244</v>
      </c>
      <c r="B25" s="282"/>
      <c r="C25" s="282"/>
      <c r="D25" s="283"/>
      <c r="E25" s="284"/>
      <c r="F25" s="284"/>
      <c r="G25" s="285"/>
      <c r="H25" s="286"/>
      <c r="I25" s="287"/>
      <c r="J25" s="286"/>
      <c r="K25" s="288"/>
      <c r="L25" s="288"/>
      <c r="M25" s="289"/>
      <c r="N25" s="286"/>
      <c r="O25" s="290"/>
      <c r="P25" s="266"/>
      <c r="Q25" s="267"/>
      <c r="R25" s="291"/>
      <c r="S25" s="240"/>
    </row>
    <row r="26" spans="1:19" s="238" customFormat="1" ht="15" hidden="1" customHeight="1" x14ac:dyDescent="0.25">
      <c r="A26" s="262" t="s">
        <v>245</v>
      </c>
      <c r="B26" s="282"/>
      <c r="C26" s="282"/>
      <c r="D26" s="283"/>
      <c r="E26" s="284"/>
      <c r="F26" s="284"/>
      <c r="G26" s="285"/>
      <c r="H26" s="286"/>
      <c r="I26" s="287"/>
      <c r="J26" s="286"/>
      <c r="K26" s="288"/>
      <c r="L26" s="288"/>
      <c r="M26" s="289"/>
      <c r="N26" s="286"/>
      <c r="O26" s="290"/>
      <c r="P26" s="266"/>
      <c r="Q26" s="267"/>
      <c r="R26" s="291"/>
      <c r="S26" s="240"/>
    </row>
    <row r="27" spans="1:19" s="238" customFormat="1" ht="15" hidden="1" customHeight="1" x14ac:dyDescent="0.25">
      <c r="A27" s="262" t="s">
        <v>246</v>
      </c>
      <c r="B27" s="282"/>
      <c r="C27" s="282"/>
      <c r="D27" s="283"/>
      <c r="E27" s="284"/>
      <c r="F27" s="284"/>
      <c r="G27" s="285"/>
      <c r="H27" s="286"/>
      <c r="I27" s="287"/>
      <c r="J27" s="286"/>
      <c r="K27" s="288"/>
      <c r="L27" s="288"/>
      <c r="M27" s="289"/>
      <c r="N27" s="286"/>
      <c r="O27" s="290"/>
      <c r="P27" s="266"/>
      <c r="Q27" s="267"/>
      <c r="R27" s="291"/>
      <c r="S27" s="240"/>
    </row>
    <row r="28" spans="1:19" s="238" customFormat="1" ht="15" hidden="1" customHeight="1" x14ac:dyDescent="0.25">
      <c r="A28" s="262" t="s">
        <v>247</v>
      </c>
      <c r="B28" s="282"/>
      <c r="C28" s="282"/>
      <c r="D28" s="283"/>
      <c r="E28" s="284"/>
      <c r="F28" s="284"/>
      <c r="G28" s="285"/>
      <c r="H28" s="286"/>
      <c r="I28" s="287"/>
      <c r="J28" s="286"/>
      <c r="K28" s="288"/>
      <c r="L28" s="288"/>
      <c r="M28" s="289"/>
      <c r="N28" s="286"/>
      <c r="O28" s="290"/>
      <c r="P28" s="266"/>
      <c r="Q28" s="267"/>
      <c r="R28" s="291"/>
      <c r="S28" s="240"/>
    </row>
    <row r="29" spans="1:19" s="238" customFormat="1" ht="15" hidden="1" customHeight="1" x14ac:dyDescent="0.25">
      <c r="A29" s="262" t="s">
        <v>248</v>
      </c>
      <c r="B29" s="282"/>
      <c r="C29" s="282"/>
      <c r="D29" s="283"/>
      <c r="E29" s="284"/>
      <c r="F29" s="284"/>
      <c r="G29" s="285"/>
      <c r="H29" s="286"/>
      <c r="I29" s="287"/>
      <c r="J29" s="286"/>
      <c r="K29" s="288"/>
      <c r="L29" s="288"/>
      <c r="M29" s="289"/>
      <c r="N29" s="286"/>
      <c r="O29" s="290"/>
      <c r="P29" s="266"/>
      <c r="Q29" s="267"/>
      <c r="R29" s="291"/>
      <c r="S29" s="240"/>
    </row>
    <row r="30" spans="1:19" s="238" customFormat="1" ht="15" hidden="1" customHeight="1" x14ac:dyDescent="0.25">
      <c r="A30" s="262" t="s">
        <v>249</v>
      </c>
      <c r="B30" s="282"/>
      <c r="C30" s="282"/>
      <c r="D30" s="283"/>
      <c r="E30" s="284"/>
      <c r="F30" s="284"/>
      <c r="G30" s="285"/>
      <c r="H30" s="286"/>
      <c r="I30" s="287"/>
      <c r="J30" s="286"/>
      <c r="K30" s="288"/>
      <c r="L30" s="288"/>
      <c r="M30" s="289"/>
      <c r="N30" s="286"/>
      <c r="O30" s="290"/>
      <c r="P30" s="266"/>
      <c r="Q30" s="267"/>
      <c r="R30" s="291"/>
      <c r="S30" s="240"/>
    </row>
    <row r="31" spans="1:19" s="238" customFormat="1" ht="15" hidden="1" customHeight="1" x14ac:dyDescent="0.25">
      <c r="A31" s="262" t="s">
        <v>250</v>
      </c>
      <c r="B31" s="282"/>
      <c r="C31" s="282"/>
      <c r="D31" s="283"/>
      <c r="E31" s="284"/>
      <c r="F31" s="284"/>
      <c r="G31" s="285"/>
      <c r="H31" s="286"/>
      <c r="I31" s="287"/>
      <c r="J31" s="286"/>
      <c r="K31" s="288"/>
      <c r="L31" s="288"/>
      <c r="M31" s="289"/>
      <c r="N31" s="286"/>
      <c r="O31" s="290"/>
      <c r="P31" s="266"/>
      <c r="Q31" s="267"/>
      <c r="R31" s="291"/>
      <c r="S31" s="240"/>
    </row>
    <row r="32" spans="1:19" s="238" customFormat="1" ht="15" hidden="1" customHeight="1" x14ac:dyDescent="0.25">
      <c r="A32" s="262" t="s">
        <v>251</v>
      </c>
      <c r="B32" s="282"/>
      <c r="C32" s="282"/>
      <c r="D32" s="283"/>
      <c r="E32" s="284"/>
      <c r="F32" s="284"/>
      <c r="G32" s="285"/>
      <c r="H32" s="286"/>
      <c r="I32" s="287"/>
      <c r="J32" s="286"/>
      <c r="K32" s="288"/>
      <c r="L32" s="288"/>
      <c r="M32" s="289"/>
      <c r="N32" s="286"/>
      <c r="O32" s="290"/>
      <c r="P32" s="266"/>
      <c r="Q32" s="267"/>
      <c r="R32" s="291"/>
      <c r="S32" s="240"/>
    </row>
    <row r="33" spans="1:19" s="238" customFormat="1" ht="15" hidden="1" customHeight="1" x14ac:dyDescent="0.25">
      <c r="A33" s="262" t="s">
        <v>252</v>
      </c>
      <c r="B33" s="282"/>
      <c r="C33" s="282"/>
      <c r="D33" s="283"/>
      <c r="E33" s="284"/>
      <c r="F33" s="284"/>
      <c r="G33" s="285"/>
      <c r="H33" s="286"/>
      <c r="I33" s="287"/>
      <c r="J33" s="286"/>
      <c r="K33" s="288"/>
      <c r="L33" s="288"/>
      <c r="M33" s="289"/>
      <c r="N33" s="286"/>
      <c r="O33" s="290"/>
      <c r="P33" s="266"/>
      <c r="Q33" s="267"/>
      <c r="R33" s="291"/>
      <c r="S33" s="240"/>
    </row>
    <row r="34" spans="1:19" s="238" customFormat="1" ht="15" hidden="1" customHeight="1" x14ac:dyDescent="0.25">
      <c r="A34" s="262" t="s">
        <v>253</v>
      </c>
      <c r="B34" s="282"/>
      <c r="C34" s="282"/>
      <c r="D34" s="283"/>
      <c r="E34" s="284"/>
      <c r="F34" s="284"/>
      <c r="G34" s="285"/>
      <c r="H34" s="286"/>
      <c r="I34" s="287"/>
      <c r="J34" s="286"/>
      <c r="K34" s="288"/>
      <c r="L34" s="288"/>
      <c r="M34" s="289"/>
      <c r="N34" s="286"/>
      <c r="O34" s="290"/>
      <c r="P34" s="266"/>
      <c r="Q34" s="267"/>
      <c r="R34" s="291"/>
      <c r="S34" s="240"/>
    </row>
    <row r="35" spans="1:19" s="238" customFormat="1" ht="15" hidden="1" customHeight="1" x14ac:dyDescent="0.25">
      <c r="A35" s="262" t="s">
        <v>254</v>
      </c>
      <c r="B35" s="282"/>
      <c r="C35" s="282"/>
      <c r="D35" s="283"/>
      <c r="E35" s="284"/>
      <c r="F35" s="284"/>
      <c r="G35" s="285"/>
      <c r="H35" s="286"/>
      <c r="I35" s="287"/>
      <c r="J35" s="286"/>
      <c r="K35" s="288"/>
      <c r="L35" s="288"/>
      <c r="M35" s="289"/>
      <c r="N35" s="286"/>
      <c r="O35" s="290"/>
      <c r="P35" s="266"/>
      <c r="Q35" s="267"/>
      <c r="R35" s="291"/>
      <c r="S35" s="240"/>
    </row>
    <row r="36" spans="1:19" s="238" customFormat="1" ht="15" customHeight="1" x14ac:dyDescent="0.25">
      <c r="A36" s="262" t="s">
        <v>255</v>
      </c>
      <c r="B36" s="263"/>
      <c r="C36" s="263"/>
      <c r="D36" s="239"/>
      <c r="E36" s="263"/>
      <c r="F36" s="263"/>
      <c r="G36" s="239"/>
      <c r="H36" s="281"/>
      <c r="I36" s="292"/>
      <c r="J36" s="281"/>
      <c r="K36" s="264"/>
      <c r="L36" s="264"/>
      <c r="M36" s="293"/>
      <c r="N36" s="271"/>
      <c r="O36" s="264"/>
      <c r="P36" s="266"/>
      <c r="Q36" s="267"/>
      <c r="R36" s="264"/>
      <c r="S36" s="240"/>
    </row>
    <row r="37" spans="1:19" ht="15" customHeight="1" x14ac:dyDescent="0.25">
      <c r="A37" s="294" t="s">
        <v>279</v>
      </c>
      <c r="B37" s="245"/>
      <c r="C37" s="245"/>
      <c r="D37" s="246"/>
      <c r="E37" s="245"/>
      <c r="F37" s="245"/>
      <c r="G37" s="246"/>
      <c r="H37" s="256"/>
      <c r="I37" s="257"/>
      <c r="J37" s="256"/>
      <c r="K37" s="258"/>
      <c r="L37" s="258"/>
      <c r="M37" s="250"/>
      <c r="N37" s="259"/>
      <c r="O37" s="258"/>
      <c r="P37" s="249"/>
      <c r="Q37" s="252"/>
      <c r="R37" s="258"/>
      <c r="S37" s="253"/>
    </row>
    <row r="38" spans="1:19" ht="15" customHeight="1" x14ac:dyDescent="0.25">
      <c r="A38" s="294" t="s">
        <v>257</v>
      </c>
      <c r="B38" s="245"/>
      <c r="C38" s="245"/>
      <c r="D38" s="246"/>
      <c r="E38" s="245"/>
      <c r="F38" s="245"/>
      <c r="G38" s="246"/>
      <c r="H38" s="256"/>
      <c r="I38" s="257"/>
      <c r="J38" s="256"/>
      <c r="K38" s="258"/>
      <c r="L38" s="258"/>
      <c r="M38" s="257"/>
      <c r="N38" s="259"/>
      <c r="O38" s="258"/>
      <c r="P38" s="249"/>
      <c r="Q38" s="252"/>
      <c r="R38" s="258"/>
      <c r="S38" s="253"/>
    </row>
    <row r="39" spans="1:19" ht="15" customHeight="1" x14ac:dyDescent="0.25">
      <c r="A39" s="294" t="s">
        <v>280</v>
      </c>
      <c r="B39" s="245"/>
      <c r="C39" s="245"/>
      <c r="D39" s="246"/>
      <c r="E39" s="245"/>
      <c r="F39" s="245"/>
      <c r="G39" s="246"/>
      <c r="H39" s="256"/>
      <c r="I39" s="257"/>
      <c r="J39" s="256"/>
      <c r="K39" s="258"/>
      <c r="L39" s="258"/>
      <c r="M39" s="257"/>
      <c r="N39" s="259"/>
      <c r="O39" s="258"/>
      <c r="P39" s="249"/>
      <c r="Q39" s="252"/>
      <c r="R39" s="258"/>
      <c r="S39" s="253"/>
    </row>
    <row r="40" spans="1:19" ht="15" customHeight="1" x14ac:dyDescent="0.25">
      <c r="A40" s="294" t="s">
        <v>259</v>
      </c>
      <c r="B40" s="245"/>
      <c r="C40" s="245"/>
      <c r="D40" s="246"/>
      <c r="E40" s="245"/>
      <c r="F40" s="245"/>
      <c r="G40" s="246"/>
      <c r="H40" s="256"/>
      <c r="I40" s="257"/>
      <c r="J40" s="256"/>
      <c r="K40" s="258"/>
      <c r="L40" s="258"/>
      <c r="M40" s="257"/>
      <c r="N40" s="259"/>
      <c r="O40" s="258"/>
      <c r="P40" s="249"/>
      <c r="Q40" s="252"/>
      <c r="R40" s="258"/>
      <c r="S40" s="253"/>
    </row>
    <row r="41" spans="1:19" ht="15" customHeight="1" x14ac:dyDescent="0.25">
      <c r="A41" s="244" t="s">
        <v>260</v>
      </c>
      <c r="B41" s="295"/>
      <c r="C41" s="295"/>
      <c r="D41" s="296"/>
      <c r="E41" s="297"/>
      <c r="F41" s="297"/>
      <c r="G41" s="298"/>
      <c r="H41" s="299"/>
      <c r="I41" s="289"/>
      <c r="J41" s="299"/>
      <c r="K41" s="300"/>
      <c r="L41" s="300"/>
      <c r="M41" s="289"/>
      <c r="N41" s="299"/>
      <c r="O41" s="301"/>
      <c r="P41" s="249"/>
      <c r="Q41" s="252"/>
      <c r="R41" s="302"/>
      <c r="S41" s="253"/>
    </row>
    <row r="42" spans="1:19" s="238" customFormat="1" ht="15" customHeight="1" x14ac:dyDescent="0.25">
      <c r="A42" s="237" t="s">
        <v>281</v>
      </c>
      <c r="B42" s="263"/>
      <c r="C42" s="303"/>
      <c r="D42" s="239"/>
      <c r="E42" s="263"/>
      <c r="F42" s="303"/>
      <c r="G42" s="239"/>
      <c r="H42" s="263"/>
      <c r="I42" s="304"/>
      <c r="J42" s="303"/>
      <c r="K42" s="305"/>
      <c r="L42" s="306"/>
      <c r="M42" s="304"/>
      <c r="N42" s="303"/>
      <c r="O42" s="307"/>
      <c r="P42" s="243"/>
      <c r="Q42" s="267"/>
      <c r="R42" s="243"/>
      <c r="S42" s="240"/>
    </row>
    <row r="43" spans="1:19" ht="15" customHeight="1" x14ac:dyDescent="0.25">
      <c r="A43" s="294" t="s">
        <v>262</v>
      </c>
      <c r="B43" s="245"/>
      <c r="C43" s="245"/>
      <c r="D43" s="246"/>
      <c r="E43" s="245"/>
      <c r="F43" s="245"/>
      <c r="G43" s="246"/>
      <c r="H43" s="256"/>
      <c r="I43" s="257"/>
      <c r="J43" s="256"/>
      <c r="K43" s="258"/>
      <c r="L43" s="258"/>
      <c r="M43" s="308"/>
      <c r="N43" s="259"/>
      <c r="O43" s="258"/>
      <c r="P43" s="249"/>
      <c r="Q43" s="252"/>
      <c r="R43" s="258"/>
      <c r="S43" s="253"/>
    </row>
    <row r="44" spans="1:19" ht="15" customHeight="1" x14ac:dyDescent="0.25">
      <c r="A44" s="294" t="s">
        <v>263</v>
      </c>
      <c r="B44" s="245"/>
      <c r="C44" s="245"/>
      <c r="D44" s="246"/>
      <c r="E44" s="245"/>
      <c r="F44" s="245"/>
      <c r="G44" s="246"/>
      <c r="H44" s="256"/>
      <c r="I44" s="257"/>
      <c r="J44" s="256"/>
      <c r="K44" s="258"/>
      <c r="L44" s="258"/>
      <c r="M44" s="250"/>
      <c r="N44" s="259"/>
      <c r="O44" s="258"/>
      <c r="P44" s="249"/>
      <c r="Q44" s="252"/>
      <c r="R44" s="258"/>
      <c r="S44" s="253"/>
    </row>
    <row r="45" spans="1:19" ht="15" customHeight="1" x14ac:dyDescent="0.25">
      <c r="A45" s="294" t="s">
        <v>264</v>
      </c>
      <c r="B45" s="245"/>
      <c r="C45" s="245"/>
      <c r="D45" s="246"/>
      <c r="E45" s="245"/>
      <c r="F45" s="245"/>
      <c r="G45" s="246"/>
      <c r="H45" s="256"/>
      <c r="I45" s="257"/>
      <c r="J45" s="256"/>
      <c r="K45" s="258"/>
      <c r="L45" s="249"/>
      <c r="M45" s="308"/>
      <c r="N45" s="552"/>
      <c r="O45" s="249"/>
      <c r="P45" s="249"/>
      <c r="Q45" s="252"/>
      <c r="R45" s="249"/>
      <c r="S45" s="253"/>
    </row>
    <row r="46" spans="1:19" s="238" customFormat="1" ht="15" customHeight="1" x14ac:dyDescent="0.25">
      <c r="A46" s="237" t="s">
        <v>282</v>
      </c>
      <c r="B46" s="263"/>
      <c r="C46" s="303"/>
      <c r="D46" s="239"/>
      <c r="E46" s="263"/>
      <c r="F46" s="303"/>
      <c r="G46" s="309"/>
      <c r="H46" s="263"/>
      <c r="I46" s="310"/>
      <c r="J46" s="303"/>
      <c r="K46" s="305"/>
      <c r="L46" s="306"/>
      <c r="M46" s="310"/>
      <c r="N46" s="303"/>
      <c r="O46" s="311"/>
      <c r="P46" s="243"/>
      <c r="Q46" s="267"/>
      <c r="R46" s="243"/>
      <c r="S46" s="240"/>
    </row>
    <row r="47" spans="1:19" s="320" customFormat="1" ht="15" customHeight="1" x14ac:dyDescent="0.25">
      <c r="A47" s="312" t="s">
        <v>283</v>
      </c>
      <c r="B47" s="313"/>
      <c r="C47" s="303"/>
      <c r="D47" s="314"/>
      <c r="E47" s="313"/>
      <c r="F47" s="303"/>
      <c r="G47" s="315"/>
      <c r="H47" s="313"/>
      <c r="I47" s="310"/>
      <c r="J47" s="303"/>
      <c r="K47" s="305"/>
      <c r="L47" s="316"/>
      <c r="M47" s="310"/>
      <c r="N47" s="303"/>
      <c r="O47" s="311"/>
      <c r="P47" s="317"/>
      <c r="Q47" s="318"/>
      <c r="R47" s="317"/>
      <c r="S47" s="319"/>
    </row>
    <row r="48" spans="1:19" ht="14.4" customHeight="1" x14ac:dyDescent="0.25"/>
    <row r="49" spans="15:15" x14ac:dyDescent="0.25">
      <c r="O49" s="323"/>
    </row>
  </sheetData>
  <mergeCells count="8">
    <mergeCell ref="R1:R2"/>
    <mergeCell ref="S1:S2"/>
    <mergeCell ref="B1:D1"/>
    <mergeCell ref="E1:G1"/>
    <mergeCell ref="H1:L1"/>
    <mergeCell ref="M1:O1"/>
    <mergeCell ref="P1:P2"/>
    <mergeCell ref="Q1:Q2"/>
  </mergeCells>
  <phoneticPr fontId="6" type="noConversion"/>
  <pageMargins left="0.16" right="0.16" top="0.27" bottom="0.2" header="0.22" footer="0.16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"/>
  <sheetViews>
    <sheetView zoomScale="70" zoomScaleNormal="70" workbookViewId="0">
      <pane xSplit="1" ySplit="2" topLeftCell="Q39" activePane="bottomRight" state="frozen"/>
      <selection activeCell="K56" sqref="K56"/>
      <selection pane="topRight" activeCell="K56" sqref="K56"/>
      <selection pane="bottomLeft" activeCell="K56" sqref="K56"/>
      <selection pane="bottomRight" activeCell="B3" sqref="B3:AH63"/>
    </sheetView>
  </sheetViews>
  <sheetFormatPr defaultColWidth="8.88671875" defaultRowHeight="17.399999999999999" outlineLevelRow="1" x14ac:dyDescent="0.25"/>
  <cols>
    <col min="1" max="1" width="25.21875" style="382" bestFit="1" customWidth="1"/>
    <col min="2" max="3" width="11.6640625" style="338" bestFit="1" customWidth="1"/>
    <col min="4" max="4" width="13.21875" style="383" bestFit="1" customWidth="1"/>
    <col min="5" max="6" width="11.6640625" style="338" bestFit="1" customWidth="1"/>
    <col min="7" max="7" width="13.21875" style="383" customWidth="1"/>
    <col min="8" max="8" width="11.6640625" style="338" bestFit="1" customWidth="1"/>
    <col min="9" max="9" width="16.21875" style="338" bestFit="1" customWidth="1"/>
    <col min="10" max="10" width="11.6640625" style="338" bestFit="1" customWidth="1"/>
    <col min="11" max="11" width="10.6640625" style="338" bestFit="1" customWidth="1"/>
    <col min="12" max="12" width="13.21875" style="383" bestFit="1" customWidth="1"/>
    <col min="13" max="13" width="13.33203125" style="383" customWidth="1"/>
    <col min="14" max="14" width="11.6640625" style="338" bestFit="1" customWidth="1"/>
    <col min="15" max="15" width="11.109375" style="338" bestFit="1" customWidth="1"/>
    <col min="16" max="17" width="16" style="383" customWidth="1"/>
    <col min="18" max="18" width="35.6640625" style="383" customWidth="1"/>
    <col min="19" max="19" width="58.44140625" style="338" hidden="1" customWidth="1"/>
    <col min="20" max="16384" width="8.88671875" style="338"/>
  </cols>
  <sheetData>
    <row r="1" spans="1:20" s="325" customFormat="1" ht="21" customHeight="1" x14ac:dyDescent="0.25">
      <c r="A1" s="324" t="s">
        <v>207</v>
      </c>
      <c r="B1" s="588" t="s">
        <v>208</v>
      </c>
      <c r="C1" s="589"/>
      <c r="D1" s="590"/>
      <c r="E1" s="591" t="s">
        <v>209</v>
      </c>
      <c r="F1" s="591"/>
      <c r="G1" s="591"/>
      <c r="H1" s="592" t="s">
        <v>210</v>
      </c>
      <c r="I1" s="592"/>
      <c r="J1" s="592"/>
      <c r="K1" s="592"/>
      <c r="L1" s="592"/>
      <c r="M1" s="613" t="s">
        <v>211</v>
      </c>
      <c r="N1" s="613"/>
      <c r="O1" s="613"/>
      <c r="P1" s="609" t="s">
        <v>268</v>
      </c>
      <c r="Q1" s="609" t="s">
        <v>269</v>
      </c>
      <c r="R1" s="610" t="s">
        <v>213</v>
      </c>
      <c r="S1" s="611" t="s">
        <v>284</v>
      </c>
    </row>
    <row r="2" spans="1:20" s="325" customFormat="1" x14ac:dyDescent="0.25">
      <c r="A2" s="324" t="s">
        <v>214</v>
      </c>
      <c r="B2" s="324" t="s">
        <v>215</v>
      </c>
      <c r="C2" s="324" t="s">
        <v>216</v>
      </c>
      <c r="D2" s="324" t="s">
        <v>221</v>
      </c>
      <c r="E2" s="324" t="s">
        <v>218</v>
      </c>
      <c r="F2" s="324" t="s">
        <v>285</v>
      </c>
      <c r="G2" s="326" t="s">
        <v>217</v>
      </c>
      <c r="H2" s="485" t="s">
        <v>218</v>
      </c>
      <c r="I2" s="328" t="s">
        <v>274</v>
      </c>
      <c r="J2" s="485" t="s">
        <v>220</v>
      </c>
      <c r="K2" s="485" t="s">
        <v>275</v>
      </c>
      <c r="L2" s="328" t="s">
        <v>221</v>
      </c>
      <c r="M2" s="328" t="s">
        <v>274</v>
      </c>
      <c r="N2" s="485" t="s">
        <v>276</v>
      </c>
      <c r="O2" s="485" t="s">
        <v>275</v>
      </c>
      <c r="P2" s="609"/>
      <c r="Q2" s="609"/>
      <c r="R2" s="610"/>
      <c r="S2" s="612"/>
    </row>
    <row r="3" spans="1:20" ht="16.2" customHeight="1" outlineLevel="1" x14ac:dyDescent="0.25">
      <c r="A3" s="329" t="s">
        <v>222</v>
      </c>
      <c r="B3" s="348"/>
      <c r="C3" s="348"/>
      <c r="D3" s="402"/>
      <c r="E3" s="349"/>
      <c r="F3" s="349"/>
      <c r="G3" s="553"/>
      <c r="H3" s="334"/>
      <c r="I3" s="335"/>
      <c r="J3" s="334"/>
      <c r="K3" s="361"/>
      <c r="L3" s="361"/>
      <c r="M3" s="346"/>
      <c r="N3" s="362"/>
      <c r="O3" s="361"/>
      <c r="P3" s="361"/>
      <c r="Q3" s="554"/>
      <c r="R3" s="363"/>
      <c r="S3" s="337"/>
    </row>
    <row r="4" spans="1:20" ht="16.2" customHeight="1" outlineLevel="1" x14ac:dyDescent="0.25">
      <c r="A4" s="339" t="s">
        <v>223</v>
      </c>
      <c r="B4" s="348"/>
      <c r="C4" s="348"/>
      <c r="D4" s="402"/>
      <c r="E4" s="349"/>
      <c r="F4" s="349"/>
      <c r="G4" s="553"/>
      <c r="H4" s="334"/>
      <c r="I4" s="335"/>
      <c r="J4" s="334"/>
      <c r="K4" s="361"/>
      <c r="L4" s="361"/>
      <c r="M4" s="346"/>
      <c r="N4" s="362"/>
      <c r="O4" s="361"/>
      <c r="P4" s="361"/>
      <c r="Q4" s="554"/>
      <c r="R4" s="405"/>
      <c r="S4" s="337"/>
    </row>
    <row r="5" spans="1:20" ht="16.2" customHeight="1" outlineLevel="1" x14ac:dyDescent="0.25">
      <c r="A5" s="339" t="s">
        <v>224</v>
      </c>
      <c r="B5" s="348"/>
      <c r="C5" s="348"/>
      <c r="D5" s="402"/>
      <c r="E5" s="349"/>
      <c r="F5" s="349"/>
      <c r="G5" s="553"/>
      <c r="H5" s="555"/>
      <c r="I5" s="335"/>
      <c r="J5" s="555"/>
      <c r="K5" s="556"/>
      <c r="L5" s="361"/>
      <c r="M5" s="346"/>
      <c r="N5" s="362"/>
      <c r="O5" s="361"/>
      <c r="P5" s="361"/>
      <c r="Q5" s="554"/>
      <c r="R5" s="363"/>
      <c r="S5" s="337"/>
    </row>
    <row r="6" spans="1:20" ht="16.2" customHeight="1" outlineLevel="1" x14ac:dyDescent="0.25">
      <c r="A6" s="339" t="s">
        <v>225</v>
      </c>
      <c r="B6" s="348"/>
      <c r="C6" s="348"/>
      <c r="D6" s="402"/>
      <c r="E6" s="349"/>
      <c r="F6" s="349"/>
      <c r="G6" s="553"/>
      <c r="H6" s="334"/>
      <c r="I6" s="335"/>
      <c r="J6" s="334"/>
      <c r="K6" s="361"/>
      <c r="L6" s="361"/>
      <c r="M6" s="346"/>
      <c r="N6" s="362"/>
      <c r="O6" s="361"/>
      <c r="P6" s="361"/>
      <c r="Q6" s="554"/>
      <c r="R6" s="405"/>
      <c r="S6" s="337"/>
    </row>
    <row r="7" spans="1:20" ht="16.2" customHeight="1" outlineLevel="1" x14ac:dyDescent="0.25">
      <c r="A7" s="339" t="s">
        <v>226</v>
      </c>
      <c r="B7" s="348"/>
      <c r="C7" s="348"/>
      <c r="D7" s="402"/>
      <c r="E7" s="349"/>
      <c r="F7" s="349"/>
      <c r="G7" s="553"/>
      <c r="H7" s="334"/>
      <c r="I7" s="335"/>
      <c r="J7" s="334"/>
      <c r="K7" s="361"/>
      <c r="L7" s="361"/>
      <c r="M7" s="346"/>
      <c r="N7" s="362"/>
      <c r="O7" s="361"/>
      <c r="P7" s="361"/>
      <c r="Q7" s="554"/>
      <c r="R7" s="363"/>
      <c r="S7" s="337"/>
    </row>
    <row r="8" spans="1:20" s="325" customFormat="1" ht="16.2" customHeight="1" x14ac:dyDescent="0.25">
      <c r="A8" s="324" t="s">
        <v>227</v>
      </c>
      <c r="B8" s="342"/>
      <c r="C8" s="342"/>
      <c r="D8" s="326"/>
      <c r="E8" s="342"/>
      <c r="F8" s="342"/>
      <c r="G8" s="343"/>
      <c r="H8" s="344"/>
      <c r="I8" s="344"/>
      <c r="J8" s="344"/>
      <c r="K8" s="373"/>
      <c r="L8" s="373"/>
      <c r="M8" s="344"/>
      <c r="N8" s="342"/>
      <c r="O8" s="373"/>
      <c r="P8" s="373"/>
      <c r="Q8" s="267"/>
      <c r="R8" s="328"/>
      <c r="S8" s="327"/>
      <c r="T8" s="338"/>
    </row>
    <row r="9" spans="1:20" ht="16.2" customHeight="1" outlineLevel="1" x14ac:dyDescent="0.25">
      <c r="A9" s="339" t="s">
        <v>228</v>
      </c>
      <c r="B9" s="348"/>
      <c r="C9" s="348"/>
      <c r="D9" s="402"/>
      <c r="E9" s="349"/>
      <c r="F9" s="349"/>
      <c r="G9" s="553"/>
      <c r="H9" s="334"/>
      <c r="I9" s="345"/>
      <c r="J9" s="334"/>
      <c r="K9" s="361"/>
      <c r="L9" s="361"/>
      <c r="M9" s="346"/>
      <c r="N9" s="362"/>
      <c r="O9" s="361"/>
      <c r="P9" s="361"/>
      <c r="Q9" s="554"/>
      <c r="R9" s="363"/>
      <c r="S9" s="337"/>
    </row>
    <row r="10" spans="1:20" ht="16.2" customHeight="1" outlineLevel="1" x14ac:dyDescent="0.25">
      <c r="A10" s="329" t="s">
        <v>229</v>
      </c>
      <c r="B10" s="348"/>
      <c r="C10" s="348"/>
      <c r="D10" s="402"/>
      <c r="E10" s="349"/>
      <c r="F10" s="349"/>
      <c r="G10" s="553"/>
      <c r="H10" s="334"/>
      <c r="I10" s="345"/>
      <c r="J10" s="334"/>
      <c r="K10" s="361"/>
      <c r="L10" s="361"/>
      <c r="M10" s="346"/>
      <c r="N10" s="362"/>
      <c r="O10" s="361"/>
      <c r="P10" s="361"/>
      <c r="Q10" s="554"/>
      <c r="R10" s="363"/>
      <c r="S10" s="337"/>
    </row>
    <row r="11" spans="1:20" s="325" customFormat="1" ht="16.2" customHeight="1" x14ac:dyDescent="0.25">
      <c r="A11" s="324" t="s">
        <v>230</v>
      </c>
      <c r="B11" s="342"/>
      <c r="C11" s="342"/>
      <c r="D11" s="326"/>
      <c r="E11" s="342"/>
      <c r="F11" s="342"/>
      <c r="G11" s="343"/>
      <c r="H11" s="344"/>
      <c r="I11" s="344"/>
      <c r="J11" s="344"/>
      <c r="K11" s="373"/>
      <c r="L11" s="373"/>
      <c r="M11" s="344"/>
      <c r="N11" s="342"/>
      <c r="O11" s="373"/>
      <c r="P11" s="373"/>
      <c r="Q11" s="267"/>
      <c r="R11" s="328"/>
      <c r="S11" s="327"/>
      <c r="T11" s="338"/>
    </row>
    <row r="12" spans="1:20" ht="16.2" customHeight="1" outlineLevel="1" x14ac:dyDescent="0.25">
      <c r="A12" s="329" t="s">
        <v>231</v>
      </c>
      <c r="B12" s="348"/>
      <c r="C12" s="348"/>
      <c r="D12" s="402"/>
      <c r="E12" s="349"/>
      <c r="F12" s="349"/>
      <c r="G12" s="553"/>
      <c r="H12" s="334"/>
      <c r="I12" s="335"/>
      <c r="J12" s="334"/>
      <c r="K12" s="361"/>
      <c r="L12" s="361"/>
      <c r="M12" s="346"/>
      <c r="N12" s="362"/>
      <c r="O12" s="361"/>
      <c r="P12" s="361"/>
      <c r="Q12" s="554"/>
      <c r="R12" s="363"/>
      <c r="S12" s="347"/>
    </row>
    <row r="13" spans="1:20" ht="16.2" customHeight="1" outlineLevel="1" x14ac:dyDescent="0.25">
      <c r="A13" s="339" t="s">
        <v>277</v>
      </c>
      <c r="B13" s="348"/>
      <c r="C13" s="348"/>
      <c r="D13" s="402"/>
      <c r="E13" s="349"/>
      <c r="F13" s="349"/>
      <c r="G13" s="553"/>
      <c r="H13" s="555"/>
      <c r="I13" s="335"/>
      <c r="J13" s="555"/>
      <c r="K13" s="556"/>
      <c r="L13" s="361"/>
      <c r="M13" s="346"/>
      <c r="N13" s="362"/>
      <c r="O13" s="361"/>
      <c r="P13" s="361"/>
      <c r="Q13" s="554"/>
      <c r="R13" s="363"/>
      <c r="S13" s="337"/>
    </row>
    <row r="14" spans="1:20" s="325" customFormat="1" ht="16.2" customHeight="1" x14ac:dyDescent="0.25">
      <c r="A14" s="324" t="s">
        <v>233</v>
      </c>
      <c r="B14" s="342"/>
      <c r="C14" s="342"/>
      <c r="D14" s="326"/>
      <c r="E14" s="342"/>
      <c r="F14" s="342"/>
      <c r="G14" s="343"/>
      <c r="H14" s="344"/>
      <c r="I14" s="344"/>
      <c r="J14" s="344"/>
      <c r="K14" s="373"/>
      <c r="L14" s="373"/>
      <c r="M14" s="344"/>
      <c r="N14" s="342"/>
      <c r="O14" s="373"/>
      <c r="P14" s="373"/>
      <c r="Q14" s="267"/>
      <c r="R14" s="328"/>
      <c r="S14" s="327"/>
      <c r="T14" s="338"/>
    </row>
    <row r="15" spans="1:20" ht="16.2" customHeight="1" outlineLevel="1" x14ac:dyDescent="0.25">
      <c r="A15" s="339" t="s">
        <v>234</v>
      </c>
      <c r="B15" s="348"/>
      <c r="C15" s="348"/>
      <c r="D15" s="402"/>
      <c r="E15" s="349"/>
      <c r="F15" s="349"/>
      <c r="G15" s="553"/>
      <c r="H15" s="334"/>
      <c r="I15" s="335"/>
      <c r="J15" s="334"/>
      <c r="K15" s="361"/>
      <c r="L15" s="361"/>
      <c r="M15" s="346"/>
      <c r="N15" s="362"/>
      <c r="O15" s="361"/>
      <c r="P15" s="361"/>
      <c r="Q15" s="554"/>
      <c r="R15" s="363"/>
      <c r="S15" s="337"/>
    </row>
    <row r="16" spans="1:20" ht="16.2" customHeight="1" outlineLevel="1" x14ac:dyDescent="0.25">
      <c r="A16" s="329" t="s">
        <v>235</v>
      </c>
      <c r="B16" s="348"/>
      <c r="C16" s="348"/>
      <c r="D16" s="402"/>
      <c r="E16" s="349"/>
      <c r="F16" s="349"/>
      <c r="G16" s="553"/>
      <c r="H16" s="334"/>
      <c r="I16" s="335"/>
      <c r="J16" s="334"/>
      <c r="K16" s="361"/>
      <c r="L16" s="361"/>
      <c r="M16" s="346"/>
      <c r="N16" s="362"/>
      <c r="O16" s="361"/>
      <c r="P16" s="361"/>
      <c r="Q16" s="554"/>
      <c r="R16" s="363"/>
      <c r="S16" s="337"/>
    </row>
    <row r="17" spans="1:20" ht="16.2" customHeight="1" outlineLevel="1" x14ac:dyDescent="0.25">
      <c r="A17" s="329" t="s">
        <v>236</v>
      </c>
      <c r="B17" s="348"/>
      <c r="C17" s="348"/>
      <c r="D17" s="402"/>
      <c r="E17" s="349"/>
      <c r="F17" s="349"/>
      <c r="G17" s="553"/>
      <c r="H17" s="334"/>
      <c r="I17" s="335"/>
      <c r="J17" s="334"/>
      <c r="K17" s="361"/>
      <c r="L17" s="361"/>
      <c r="M17" s="346"/>
      <c r="N17" s="362"/>
      <c r="O17" s="361"/>
      <c r="P17" s="361"/>
      <c r="Q17" s="554"/>
      <c r="R17" s="363"/>
      <c r="S17" s="337"/>
    </row>
    <row r="18" spans="1:20" s="325" customFormat="1" ht="16.2" customHeight="1" x14ac:dyDescent="0.25">
      <c r="A18" s="324" t="s">
        <v>237</v>
      </c>
      <c r="B18" s="342"/>
      <c r="C18" s="342"/>
      <c r="D18" s="326"/>
      <c r="E18" s="342"/>
      <c r="F18" s="342"/>
      <c r="G18" s="343"/>
      <c r="H18" s="344"/>
      <c r="I18" s="344"/>
      <c r="J18" s="344"/>
      <c r="K18" s="373"/>
      <c r="L18" s="373"/>
      <c r="M18" s="344"/>
      <c r="N18" s="342"/>
      <c r="O18" s="373"/>
      <c r="P18" s="373"/>
      <c r="Q18" s="267"/>
      <c r="R18" s="328"/>
      <c r="S18" s="327"/>
      <c r="T18" s="338"/>
    </row>
    <row r="19" spans="1:20" s="351" customFormat="1" ht="16.2" customHeight="1" x14ac:dyDescent="0.25">
      <c r="A19" s="329" t="s">
        <v>238</v>
      </c>
      <c r="B19" s="348"/>
      <c r="C19" s="348"/>
      <c r="D19" s="331"/>
      <c r="E19" s="349"/>
      <c r="F19" s="349"/>
      <c r="G19" s="333"/>
      <c r="H19" s="334"/>
      <c r="I19" s="335"/>
      <c r="J19" s="334"/>
      <c r="K19" s="361"/>
      <c r="L19" s="361"/>
      <c r="M19" s="336"/>
      <c r="N19" s="362"/>
      <c r="O19" s="361"/>
      <c r="P19" s="361"/>
      <c r="Q19" s="252"/>
      <c r="R19" s="363"/>
      <c r="S19" s="350"/>
      <c r="T19" s="338"/>
    </row>
    <row r="20" spans="1:20" s="325" customFormat="1" ht="16.2" customHeight="1" x14ac:dyDescent="0.25">
      <c r="A20" s="324" t="s">
        <v>239</v>
      </c>
      <c r="B20" s="342"/>
      <c r="C20" s="342"/>
      <c r="D20" s="326"/>
      <c r="E20" s="342"/>
      <c r="F20" s="342"/>
      <c r="G20" s="343"/>
      <c r="H20" s="344"/>
      <c r="I20" s="344"/>
      <c r="J20" s="344"/>
      <c r="K20" s="373"/>
      <c r="L20" s="373"/>
      <c r="M20" s="344"/>
      <c r="N20" s="342"/>
      <c r="O20" s="373"/>
      <c r="P20" s="373"/>
      <c r="Q20" s="267"/>
      <c r="R20" s="328"/>
      <c r="S20" s="327"/>
      <c r="T20" s="338"/>
    </row>
    <row r="21" spans="1:20" s="356" customFormat="1" ht="16.2" customHeight="1" outlineLevel="1" x14ac:dyDescent="0.25">
      <c r="A21" s="339" t="s">
        <v>240</v>
      </c>
      <c r="B21" s="330"/>
      <c r="C21" s="330"/>
      <c r="D21" s="331"/>
      <c r="E21" s="352"/>
      <c r="F21" s="352"/>
      <c r="G21" s="333"/>
      <c r="H21" s="353"/>
      <c r="I21" s="354"/>
      <c r="J21" s="353"/>
      <c r="K21" s="489"/>
      <c r="L21" s="410"/>
      <c r="M21" s="336"/>
      <c r="N21" s="487"/>
      <c r="O21" s="410"/>
      <c r="P21" s="361"/>
      <c r="Q21" s="252"/>
      <c r="R21" s="488"/>
      <c r="S21" s="355"/>
      <c r="T21" s="338"/>
    </row>
    <row r="22" spans="1:20" ht="16.2" customHeight="1" outlineLevel="1" x14ac:dyDescent="0.25">
      <c r="A22" s="329" t="s">
        <v>241</v>
      </c>
      <c r="B22" s="330"/>
      <c r="C22" s="330"/>
      <c r="D22" s="331"/>
      <c r="E22" s="332"/>
      <c r="F22" s="332"/>
      <c r="G22" s="333"/>
      <c r="H22" s="334"/>
      <c r="I22" s="335"/>
      <c r="J22" s="334"/>
      <c r="K22" s="361"/>
      <c r="L22" s="361"/>
      <c r="M22" s="336"/>
      <c r="N22" s="362"/>
      <c r="O22" s="361"/>
      <c r="P22" s="361"/>
      <c r="Q22" s="252"/>
      <c r="R22" s="357"/>
      <c r="S22" s="337"/>
    </row>
    <row r="23" spans="1:20" s="325" customFormat="1" ht="16.2" customHeight="1" x14ac:dyDescent="0.25">
      <c r="A23" s="324" t="s">
        <v>242</v>
      </c>
      <c r="B23" s="342"/>
      <c r="C23" s="342"/>
      <c r="D23" s="326"/>
      <c r="E23" s="342"/>
      <c r="F23" s="342"/>
      <c r="G23" s="343"/>
      <c r="H23" s="344"/>
      <c r="I23" s="344"/>
      <c r="J23" s="344"/>
      <c r="K23" s="373"/>
      <c r="L23" s="373"/>
      <c r="M23" s="344"/>
      <c r="N23" s="342"/>
      <c r="O23" s="373"/>
      <c r="P23" s="373"/>
      <c r="Q23" s="267"/>
      <c r="R23" s="328"/>
      <c r="S23" s="327"/>
      <c r="T23" s="338"/>
    </row>
    <row r="24" spans="1:20" s="365" customFormat="1" hidden="1" x14ac:dyDescent="0.25">
      <c r="A24" s="329" t="s">
        <v>243</v>
      </c>
      <c r="B24" s="358"/>
      <c r="C24" s="358"/>
      <c r="D24" s="359"/>
      <c r="E24" s="349"/>
      <c r="F24" s="349"/>
      <c r="G24" s="360"/>
      <c r="H24" s="334"/>
      <c r="I24" s="334"/>
      <c r="J24" s="334"/>
      <c r="K24" s="361"/>
      <c r="L24" s="361"/>
      <c r="M24" s="334"/>
      <c r="N24" s="362"/>
      <c r="O24" s="361"/>
      <c r="P24" s="490"/>
      <c r="Q24" s="267"/>
      <c r="R24" s="363"/>
      <c r="S24" s="364"/>
      <c r="T24" s="338"/>
    </row>
    <row r="25" spans="1:20" s="365" customFormat="1" hidden="1" x14ac:dyDescent="0.25">
      <c r="A25" s="329" t="s">
        <v>244</v>
      </c>
      <c r="B25" s="358"/>
      <c r="C25" s="358"/>
      <c r="D25" s="359"/>
      <c r="E25" s="349"/>
      <c r="F25" s="349"/>
      <c r="G25" s="360"/>
      <c r="H25" s="334"/>
      <c r="I25" s="334"/>
      <c r="J25" s="334"/>
      <c r="K25" s="361"/>
      <c r="L25" s="361"/>
      <c r="M25" s="334"/>
      <c r="N25" s="362"/>
      <c r="O25" s="361"/>
      <c r="P25" s="490"/>
      <c r="Q25" s="267"/>
      <c r="R25" s="363"/>
      <c r="S25" s="364"/>
      <c r="T25" s="338"/>
    </row>
    <row r="26" spans="1:20" s="365" customFormat="1" hidden="1" x14ac:dyDescent="0.25">
      <c r="A26" s="329" t="s">
        <v>245</v>
      </c>
      <c r="B26" s="358"/>
      <c r="C26" s="358"/>
      <c r="D26" s="359"/>
      <c r="E26" s="349"/>
      <c r="F26" s="349"/>
      <c r="G26" s="360"/>
      <c r="H26" s="334"/>
      <c r="I26" s="334"/>
      <c r="J26" s="334"/>
      <c r="K26" s="361"/>
      <c r="L26" s="361"/>
      <c r="M26" s="334"/>
      <c r="N26" s="362"/>
      <c r="O26" s="361"/>
      <c r="P26" s="490"/>
      <c r="Q26" s="267"/>
      <c r="R26" s="363"/>
      <c r="S26" s="364"/>
      <c r="T26" s="338"/>
    </row>
    <row r="27" spans="1:20" s="365" customFormat="1" hidden="1" x14ac:dyDescent="0.25">
      <c r="A27" s="329" t="s">
        <v>246</v>
      </c>
      <c r="B27" s="358"/>
      <c r="C27" s="358"/>
      <c r="D27" s="359"/>
      <c r="E27" s="349"/>
      <c r="F27" s="349"/>
      <c r="G27" s="360"/>
      <c r="H27" s="334"/>
      <c r="I27" s="334"/>
      <c r="J27" s="334"/>
      <c r="K27" s="361"/>
      <c r="L27" s="361"/>
      <c r="M27" s="334"/>
      <c r="N27" s="362"/>
      <c r="O27" s="361"/>
      <c r="P27" s="490"/>
      <c r="Q27" s="267"/>
      <c r="R27" s="363"/>
      <c r="S27" s="364"/>
      <c r="T27" s="338"/>
    </row>
    <row r="28" spans="1:20" s="365" customFormat="1" hidden="1" x14ac:dyDescent="0.25">
      <c r="A28" s="329" t="s">
        <v>247</v>
      </c>
      <c r="B28" s="358"/>
      <c r="C28" s="358"/>
      <c r="D28" s="359"/>
      <c r="E28" s="349"/>
      <c r="F28" s="349"/>
      <c r="G28" s="360"/>
      <c r="H28" s="334"/>
      <c r="I28" s="334"/>
      <c r="J28" s="334"/>
      <c r="K28" s="361"/>
      <c r="L28" s="361"/>
      <c r="M28" s="334"/>
      <c r="N28" s="362"/>
      <c r="O28" s="361"/>
      <c r="P28" s="490"/>
      <c r="Q28" s="267"/>
      <c r="R28" s="363"/>
      <c r="S28" s="364"/>
      <c r="T28" s="338"/>
    </row>
    <row r="29" spans="1:20" s="365" customFormat="1" hidden="1" x14ac:dyDescent="0.25">
      <c r="A29" s="329" t="s">
        <v>248</v>
      </c>
      <c r="B29" s="358"/>
      <c r="C29" s="358"/>
      <c r="D29" s="359"/>
      <c r="E29" s="349"/>
      <c r="F29" s="349"/>
      <c r="G29" s="360"/>
      <c r="H29" s="334"/>
      <c r="I29" s="334"/>
      <c r="J29" s="334"/>
      <c r="K29" s="361"/>
      <c r="L29" s="361"/>
      <c r="M29" s="334"/>
      <c r="N29" s="362"/>
      <c r="O29" s="361"/>
      <c r="P29" s="490"/>
      <c r="Q29" s="267"/>
      <c r="R29" s="363"/>
      <c r="S29" s="364"/>
      <c r="T29" s="338"/>
    </row>
    <row r="30" spans="1:20" s="365" customFormat="1" hidden="1" x14ac:dyDescent="0.25">
      <c r="A30" s="329" t="s">
        <v>249</v>
      </c>
      <c r="B30" s="358"/>
      <c r="C30" s="358"/>
      <c r="D30" s="359"/>
      <c r="E30" s="349"/>
      <c r="F30" s="349"/>
      <c r="G30" s="360"/>
      <c r="H30" s="334"/>
      <c r="I30" s="334"/>
      <c r="J30" s="334"/>
      <c r="K30" s="361"/>
      <c r="L30" s="361"/>
      <c r="M30" s="334"/>
      <c r="N30" s="362"/>
      <c r="O30" s="361"/>
      <c r="P30" s="490"/>
      <c r="Q30" s="267"/>
      <c r="R30" s="363"/>
      <c r="S30" s="364"/>
      <c r="T30" s="338"/>
    </row>
    <row r="31" spans="1:20" s="365" customFormat="1" hidden="1" x14ac:dyDescent="0.25">
      <c r="A31" s="329" t="s">
        <v>250</v>
      </c>
      <c r="B31" s="358"/>
      <c r="C31" s="358"/>
      <c r="D31" s="359"/>
      <c r="E31" s="349"/>
      <c r="F31" s="349"/>
      <c r="G31" s="360"/>
      <c r="H31" s="334"/>
      <c r="I31" s="334"/>
      <c r="J31" s="334"/>
      <c r="K31" s="361"/>
      <c r="L31" s="361"/>
      <c r="M31" s="334"/>
      <c r="N31" s="362"/>
      <c r="O31" s="361"/>
      <c r="P31" s="490"/>
      <c r="Q31" s="267"/>
      <c r="R31" s="363"/>
      <c r="S31" s="364"/>
      <c r="T31" s="338"/>
    </row>
    <row r="32" spans="1:20" s="365" customFormat="1" hidden="1" x14ac:dyDescent="0.25">
      <c r="A32" s="329" t="s">
        <v>251</v>
      </c>
      <c r="B32" s="358"/>
      <c r="C32" s="358"/>
      <c r="D32" s="359"/>
      <c r="E32" s="349"/>
      <c r="F32" s="349"/>
      <c r="G32" s="360"/>
      <c r="H32" s="334"/>
      <c r="I32" s="334"/>
      <c r="J32" s="334"/>
      <c r="K32" s="361"/>
      <c r="L32" s="361"/>
      <c r="M32" s="334"/>
      <c r="N32" s="362"/>
      <c r="O32" s="361"/>
      <c r="P32" s="490"/>
      <c r="Q32" s="267"/>
      <c r="R32" s="363"/>
      <c r="S32" s="364"/>
      <c r="T32" s="338"/>
    </row>
    <row r="33" spans="1:20" s="365" customFormat="1" hidden="1" x14ac:dyDescent="0.25">
      <c r="A33" s="329" t="s">
        <v>252</v>
      </c>
      <c r="B33" s="358"/>
      <c r="C33" s="358"/>
      <c r="D33" s="359"/>
      <c r="E33" s="349"/>
      <c r="F33" s="349"/>
      <c r="G33" s="360"/>
      <c r="H33" s="334"/>
      <c r="I33" s="334"/>
      <c r="J33" s="334"/>
      <c r="K33" s="361"/>
      <c r="L33" s="361"/>
      <c r="M33" s="334"/>
      <c r="N33" s="362"/>
      <c r="O33" s="361"/>
      <c r="P33" s="490"/>
      <c r="Q33" s="267"/>
      <c r="R33" s="363"/>
      <c r="S33" s="364"/>
      <c r="T33" s="338"/>
    </row>
    <row r="34" spans="1:20" s="365" customFormat="1" hidden="1" x14ac:dyDescent="0.25">
      <c r="A34" s="329" t="s">
        <v>253</v>
      </c>
      <c r="B34" s="358"/>
      <c r="C34" s="358"/>
      <c r="D34" s="359"/>
      <c r="E34" s="349"/>
      <c r="F34" s="349"/>
      <c r="G34" s="360"/>
      <c r="H34" s="334"/>
      <c r="I34" s="334"/>
      <c r="J34" s="334"/>
      <c r="K34" s="361"/>
      <c r="L34" s="361"/>
      <c r="M34" s="334"/>
      <c r="N34" s="362"/>
      <c r="O34" s="361"/>
      <c r="P34" s="490"/>
      <c r="Q34" s="267"/>
      <c r="R34" s="363"/>
      <c r="S34" s="364"/>
      <c r="T34" s="338"/>
    </row>
    <row r="35" spans="1:20" s="365" customFormat="1" hidden="1" x14ac:dyDescent="0.25">
      <c r="A35" s="329" t="s">
        <v>254</v>
      </c>
      <c r="B35" s="358"/>
      <c r="C35" s="358"/>
      <c r="D35" s="359"/>
      <c r="E35" s="349"/>
      <c r="F35" s="349"/>
      <c r="G35" s="360"/>
      <c r="H35" s="334"/>
      <c r="I35" s="334"/>
      <c r="J35" s="334"/>
      <c r="K35" s="361"/>
      <c r="L35" s="361"/>
      <c r="M35" s="334"/>
      <c r="N35" s="362"/>
      <c r="O35" s="361"/>
      <c r="P35" s="490"/>
      <c r="Q35" s="267"/>
      <c r="R35" s="363"/>
      <c r="S35" s="364"/>
      <c r="T35" s="338"/>
    </row>
    <row r="36" spans="1:20" s="325" customFormat="1" ht="16.2" customHeight="1" x14ac:dyDescent="0.25">
      <c r="A36" s="324" t="s">
        <v>255</v>
      </c>
      <c r="B36" s="342"/>
      <c r="C36" s="342"/>
      <c r="D36" s="326"/>
      <c r="E36" s="366"/>
      <c r="F36" s="366"/>
      <c r="G36" s="343"/>
      <c r="H36" s="367"/>
      <c r="I36" s="367"/>
      <c r="J36" s="367"/>
      <c r="K36" s="373"/>
      <c r="L36" s="373"/>
      <c r="M36" s="367"/>
      <c r="N36" s="491"/>
      <c r="O36" s="373"/>
      <c r="P36" s="373"/>
      <c r="Q36" s="267"/>
      <c r="R36" s="328"/>
      <c r="S36" s="327"/>
      <c r="T36" s="338"/>
    </row>
    <row r="37" spans="1:20" ht="30" customHeight="1" x14ac:dyDescent="0.25">
      <c r="A37" s="368" t="s">
        <v>279</v>
      </c>
      <c r="B37" s="330"/>
      <c r="C37" s="330"/>
      <c r="D37" s="331"/>
      <c r="E37" s="332"/>
      <c r="F37" s="332"/>
      <c r="G37" s="333"/>
      <c r="H37" s="340"/>
      <c r="I37" s="341"/>
      <c r="J37" s="340"/>
      <c r="K37" s="410"/>
      <c r="L37" s="410"/>
      <c r="M37" s="336"/>
      <c r="N37" s="487"/>
      <c r="O37" s="410"/>
      <c r="P37" s="361"/>
      <c r="Q37" s="252"/>
      <c r="R37" s="488"/>
      <c r="S37" s="337"/>
    </row>
    <row r="38" spans="1:20" ht="16.2" customHeight="1" x14ac:dyDescent="0.25">
      <c r="A38" s="368" t="s">
        <v>257</v>
      </c>
      <c r="B38" s="330"/>
      <c r="C38" s="330"/>
      <c r="D38" s="331"/>
      <c r="E38" s="332"/>
      <c r="F38" s="332"/>
      <c r="G38" s="333"/>
      <c r="H38" s="340"/>
      <c r="I38" s="341"/>
      <c r="J38" s="340"/>
      <c r="K38" s="410"/>
      <c r="L38" s="410"/>
      <c r="M38" s="341"/>
      <c r="N38" s="487"/>
      <c r="O38" s="410"/>
      <c r="P38" s="361"/>
      <c r="Q38" s="252"/>
      <c r="R38" s="488"/>
      <c r="S38" s="337"/>
    </row>
    <row r="39" spans="1:20" ht="16.2" customHeight="1" x14ac:dyDescent="0.25">
      <c r="A39" s="368" t="s">
        <v>280</v>
      </c>
      <c r="B39" s="330"/>
      <c r="C39" s="330"/>
      <c r="D39" s="331"/>
      <c r="E39" s="332"/>
      <c r="F39" s="332"/>
      <c r="G39" s="333"/>
      <c r="H39" s="340"/>
      <c r="I39" s="341"/>
      <c r="J39" s="340"/>
      <c r="K39" s="410"/>
      <c r="L39" s="410"/>
      <c r="M39" s="341"/>
      <c r="N39" s="487"/>
      <c r="O39" s="410"/>
      <c r="P39" s="361"/>
      <c r="Q39" s="252"/>
      <c r="R39" s="488"/>
      <c r="S39" s="337"/>
    </row>
    <row r="40" spans="1:20" ht="16.2" customHeight="1" x14ac:dyDescent="0.25">
      <c r="A40" s="368" t="s">
        <v>259</v>
      </c>
      <c r="B40" s="330"/>
      <c r="C40" s="330"/>
      <c r="D40" s="331"/>
      <c r="E40" s="332"/>
      <c r="F40" s="332"/>
      <c r="G40" s="333"/>
      <c r="H40" s="340"/>
      <c r="I40" s="341"/>
      <c r="J40" s="340"/>
      <c r="K40" s="410"/>
      <c r="L40" s="410"/>
      <c r="M40" s="341"/>
      <c r="N40" s="487"/>
      <c r="O40" s="410"/>
      <c r="P40" s="361"/>
      <c r="Q40" s="252"/>
      <c r="R40" s="488"/>
      <c r="S40" s="337"/>
    </row>
    <row r="41" spans="1:20" ht="15" customHeight="1" x14ac:dyDescent="0.25">
      <c r="A41" s="329" t="s">
        <v>260</v>
      </c>
      <c r="B41" s="358"/>
      <c r="C41" s="358"/>
      <c r="D41" s="359"/>
      <c r="E41" s="349"/>
      <c r="F41" s="349"/>
      <c r="G41" s="360"/>
      <c r="H41" s="334"/>
      <c r="I41" s="334"/>
      <c r="J41" s="334"/>
      <c r="K41" s="361"/>
      <c r="L41" s="361"/>
      <c r="M41" s="334"/>
      <c r="N41" s="362"/>
      <c r="O41" s="361"/>
      <c r="P41" s="361"/>
      <c r="Q41" s="252"/>
      <c r="R41" s="363"/>
      <c r="S41" s="337"/>
    </row>
    <row r="42" spans="1:20" s="325" customFormat="1" ht="15" customHeight="1" x14ac:dyDescent="0.25">
      <c r="A42" s="324" t="s">
        <v>281</v>
      </c>
      <c r="B42" s="342"/>
      <c r="C42" s="369"/>
      <c r="D42" s="326"/>
      <c r="E42" s="342"/>
      <c r="F42" s="369"/>
      <c r="G42" s="326"/>
      <c r="H42" s="344"/>
      <c r="I42" s="370"/>
      <c r="J42" s="371"/>
      <c r="K42" s="372"/>
      <c r="L42" s="373"/>
      <c r="M42" s="370"/>
      <c r="N42" s="369"/>
      <c r="O42" s="492"/>
      <c r="P42" s="328"/>
      <c r="Q42" s="267"/>
      <c r="R42" s="328"/>
      <c r="S42" s="327"/>
      <c r="T42" s="338"/>
    </row>
    <row r="43" spans="1:20" ht="16.2" customHeight="1" x14ac:dyDescent="0.25">
      <c r="A43" s="368" t="s">
        <v>262</v>
      </c>
      <c r="B43" s="348"/>
      <c r="C43" s="348"/>
      <c r="D43" s="402"/>
      <c r="E43" s="349"/>
      <c r="F43" s="349"/>
      <c r="G43" s="553"/>
      <c r="H43" s="334"/>
      <c r="I43" s="335"/>
      <c r="J43" s="334"/>
      <c r="K43" s="361"/>
      <c r="L43" s="361"/>
      <c r="M43" s="334"/>
      <c r="N43" s="362"/>
      <c r="O43" s="361"/>
      <c r="P43" s="361"/>
      <c r="Q43" s="554"/>
      <c r="R43" s="363"/>
      <c r="S43" s="337"/>
    </row>
    <row r="44" spans="1:20" ht="16.2" customHeight="1" x14ac:dyDescent="0.25">
      <c r="A44" s="368" t="s">
        <v>263</v>
      </c>
      <c r="B44" s="348"/>
      <c r="C44" s="348"/>
      <c r="D44" s="402"/>
      <c r="E44" s="349"/>
      <c r="F44" s="349"/>
      <c r="G44" s="553"/>
      <c r="H44" s="334"/>
      <c r="I44" s="335"/>
      <c r="J44" s="334"/>
      <c r="K44" s="361"/>
      <c r="L44" s="361"/>
      <c r="M44" s="346"/>
      <c r="N44" s="362"/>
      <c r="O44" s="361"/>
      <c r="P44" s="361"/>
      <c r="Q44" s="554"/>
      <c r="R44" s="363"/>
      <c r="S44" s="337"/>
    </row>
    <row r="45" spans="1:20" ht="16.2" customHeight="1" x14ac:dyDescent="0.25">
      <c r="A45" s="368" t="s">
        <v>264</v>
      </c>
      <c r="B45" s="348"/>
      <c r="C45" s="348"/>
      <c r="D45" s="402"/>
      <c r="E45" s="349"/>
      <c r="F45" s="349"/>
      <c r="G45" s="553"/>
      <c r="H45" s="334"/>
      <c r="I45" s="335"/>
      <c r="J45" s="334"/>
      <c r="K45" s="361"/>
      <c r="L45" s="361"/>
      <c r="M45" s="334"/>
      <c r="N45" s="362"/>
      <c r="O45" s="361"/>
      <c r="P45" s="361"/>
      <c r="Q45" s="554"/>
      <c r="R45" s="363"/>
      <c r="S45" s="337"/>
    </row>
    <row r="46" spans="1:20" s="325" customFormat="1" ht="16.2" customHeight="1" x14ac:dyDescent="0.25">
      <c r="A46" s="324" t="s">
        <v>282</v>
      </c>
      <c r="B46" s="342"/>
      <c r="C46" s="369"/>
      <c r="D46" s="324"/>
      <c r="E46" s="342"/>
      <c r="F46" s="369"/>
      <c r="G46" s="374"/>
      <c r="H46" s="344"/>
      <c r="I46" s="370"/>
      <c r="J46" s="371"/>
      <c r="K46" s="372"/>
      <c r="L46" s="373"/>
      <c r="M46" s="370"/>
      <c r="N46" s="369"/>
      <c r="O46" s="492"/>
      <c r="P46" s="373"/>
      <c r="Q46" s="267"/>
      <c r="R46" s="328"/>
      <c r="S46" s="327"/>
      <c r="T46" s="338"/>
    </row>
    <row r="47" spans="1:20" s="381" customFormat="1" ht="14.4" customHeight="1" x14ac:dyDescent="0.25">
      <c r="A47" s="375" t="s">
        <v>283</v>
      </c>
      <c r="B47" s="376"/>
      <c r="C47" s="369"/>
      <c r="D47" s="375"/>
      <c r="E47" s="376"/>
      <c r="F47" s="369"/>
      <c r="G47" s="377"/>
      <c r="H47" s="378"/>
      <c r="I47" s="370"/>
      <c r="J47" s="371"/>
      <c r="K47" s="493"/>
      <c r="L47" s="379"/>
      <c r="M47" s="370"/>
      <c r="N47" s="369"/>
      <c r="O47" s="493"/>
      <c r="P47" s="494"/>
      <c r="Q47" s="318"/>
      <c r="R47" s="495"/>
      <c r="S47" s="380"/>
      <c r="T47" s="338"/>
    </row>
    <row r="48" spans="1:20" ht="14.4" customHeight="1" x14ac:dyDescent="0.25"/>
  </sheetData>
  <mergeCells count="8">
    <mergeCell ref="R1:R2"/>
    <mergeCell ref="S1:S2"/>
    <mergeCell ref="B1:D1"/>
    <mergeCell ref="E1:G1"/>
    <mergeCell ref="H1:L1"/>
    <mergeCell ref="M1:O1"/>
    <mergeCell ref="P1:P2"/>
    <mergeCell ref="Q1:Q2"/>
  </mergeCells>
  <phoneticPr fontId="6" type="noConversion"/>
  <pageMargins left="0.16" right="0.16" top="0.27" bottom="0.2" header="0.22" footer="0.16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R49"/>
  <sheetViews>
    <sheetView zoomScale="80" zoomScaleNormal="80" workbookViewId="0">
      <pane xSplit="1" ySplit="2" topLeftCell="F14" activePane="bottomRight" state="frozen"/>
      <selection activeCell="K56" sqref="K56"/>
      <selection pane="topRight" activeCell="K56" sqref="K56"/>
      <selection pane="bottomLeft" activeCell="K56" sqref="K56"/>
      <selection pane="bottomRight" activeCell="B3" sqref="B3:R50"/>
    </sheetView>
  </sheetViews>
  <sheetFormatPr defaultColWidth="8.88671875" defaultRowHeight="15" x14ac:dyDescent="0.35"/>
  <cols>
    <col min="1" max="1" width="24.44140625" style="386" bestFit="1" customWidth="1"/>
    <col min="2" max="3" width="10" style="386" customWidth="1"/>
    <col min="4" max="4" width="10.6640625" style="386" bestFit="1" customWidth="1"/>
    <col min="5" max="6" width="8.88671875" style="386" customWidth="1"/>
    <col min="7" max="7" width="10.6640625" style="386" bestFit="1" customWidth="1"/>
    <col min="8" max="8" width="9.77734375" style="386" customWidth="1"/>
    <col min="9" max="9" width="12.44140625" style="386" bestFit="1" customWidth="1"/>
    <col min="10" max="10" width="11.33203125" style="386" bestFit="1" customWidth="1"/>
    <col min="11" max="11" width="9.44140625" style="386" bestFit="1" customWidth="1"/>
    <col min="12" max="12" width="10.6640625" style="386" bestFit="1" customWidth="1"/>
    <col min="13" max="13" width="12.44140625" style="386" bestFit="1" customWidth="1"/>
    <col min="14" max="14" width="11.88671875" style="386" customWidth="1"/>
    <col min="15" max="15" width="10.6640625" style="386" bestFit="1" customWidth="1"/>
    <col min="16" max="17" width="18.88671875" style="386" customWidth="1"/>
    <col min="18" max="18" width="30.109375" style="386" customWidth="1"/>
    <col min="19" max="16384" width="8.88671875" style="386"/>
  </cols>
  <sheetData>
    <row r="1" spans="1:18" s="384" customFormat="1" ht="15.6" x14ac:dyDescent="0.4">
      <c r="A1" s="237" t="s">
        <v>207</v>
      </c>
      <c r="B1" s="606" t="s">
        <v>208</v>
      </c>
      <c r="C1" s="606"/>
      <c r="D1" s="606"/>
      <c r="E1" s="615" t="s">
        <v>209</v>
      </c>
      <c r="F1" s="615"/>
      <c r="G1" s="615"/>
      <c r="H1" s="616" t="s">
        <v>210</v>
      </c>
      <c r="I1" s="616"/>
      <c r="J1" s="616"/>
      <c r="K1" s="616"/>
      <c r="L1" s="616"/>
      <c r="M1" s="609" t="s">
        <v>211</v>
      </c>
      <c r="N1" s="609"/>
      <c r="O1" s="609"/>
      <c r="P1" s="609" t="s">
        <v>268</v>
      </c>
      <c r="Q1" s="601" t="s">
        <v>269</v>
      </c>
      <c r="R1" s="614" t="s">
        <v>213</v>
      </c>
    </row>
    <row r="2" spans="1:18" s="384" customFormat="1" ht="15.6" x14ac:dyDescent="0.4">
      <c r="A2" s="237" t="s">
        <v>214</v>
      </c>
      <c r="B2" s="237" t="s">
        <v>215</v>
      </c>
      <c r="C2" s="237" t="s">
        <v>216</v>
      </c>
      <c r="D2" s="237" t="s">
        <v>221</v>
      </c>
      <c r="E2" s="237" t="s">
        <v>218</v>
      </c>
      <c r="F2" s="237" t="s">
        <v>285</v>
      </c>
      <c r="G2" s="239" t="s">
        <v>217</v>
      </c>
      <c r="H2" s="240" t="s">
        <v>218</v>
      </c>
      <c r="I2" s="241" t="s">
        <v>274</v>
      </c>
      <c r="J2" s="240" t="s">
        <v>220</v>
      </c>
      <c r="K2" s="240" t="s">
        <v>275</v>
      </c>
      <c r="L2" s="241" t="s">
        <v>221</v>
      </c>
      <c r="M2" s="241" t="s">
        <v>274</v>
      </c>
      <c r="N2" s="240" t="s">
        <v>276</v>
      </c>
      <c r="O2" s="240" t="s">
        <v>275</v>
      </c>
      <c r="P2" s="609"/>
      <c r="Q2" s="602"/>
      <c r="R2" s="614"/>
    </row>
    <row r="3" spans="1:18" ht="15.6" x14ac:dyDescent="0.35">
      <c r="A3" s="244" t="s">
        <v>222</v>
      </c>
      <c r="B3" s="250"/>
      <c r="C3" s="250"/>
      <c r="D3" s="252"/>
      <c r="E3" s="250"/>
      <c r="F3" s="250"/>
      <c r="G3" s="252"/>
      <c r="H3" s="250"/>
      <c r="I3" s="248"/>
      <c r="J3" s="250"/>
      <c r="K3" s="252"/>
      <c r="L3" s="252"/>
      <c r="M3" s="250"/>
      <c r="N3" s="250"/>
      <c r="O3" s="252"/>
      <c r="P3" s="252"/>
      <c r="Q3" s="252"/>
      <c r="R3" s="385"/>
    </row>
    <row r="4" spans="1:18" ht="15.6" x14ac:dyDescent="0.35">
      <c r="A4" s="255" t="s">
        <v>223</v>
      </c>
      <c r="B4" s="250"/>
      <c r="C4" s="250"/>
      <c r="D4" s="252"/>
      <c r="E4" s="250"/>
      <c r="F4" s="250"/>
      <c r="G4" s="252"/>
      <c r="H4" s="250"/>
      <c r="I4" s="257"/>
      <c r="J4" s="250"/>
      <c r="K4" s="252"/>
      <c r="L4" s="252"/>
      <c r="M4" s="250"/>
      <c r="N4" s="250"/>
      <c r="O4" s="252"/>
      <c r="P4" s="252"/>
      <c r="Q4" s="252"/>
      <c r="R4" s="385"/>
    </row>
    <row r="5" spans="1:18" ht="15.6" x14ac:dyDescent="0.35">
      <c r="A5" s="255" t="s">
        <v>224</v>
      </c>
      <c r="B5" s="250"/>
      <c r="C5" s="250"/>
      <c r="D5" s="252"/>
      <c r="E5" s="250"/>
      <c r="F5" s="250"/>
      <c r="G5" s="252"/>
      <c r="H5" s="250"/>
      <c r="I5" s="257"/>
      <c r="J5" s="250"/>
      <c r="K5" s="252"/>
      <c r="L5" s="252"/>
      <c r="M5" s="250"/>
      <c r="N5" s="250"/>
      <c r="O5" s="252"/>
      <c r="P5" s="252"/>
      <c r="Q5" s="252"/>
      <c r="R5" s="385"/>
    </row>
    <row r="6" spans="1:18" ht="15.6" x14ac:dyDescent="0.35">
      <c r="A6" s="255" t="s">
        <v>225</v>
      </c>
      <c r="B6" s="250"/>
      <c r="C6" s="250"/>
      <c r="D6" s="252"/>
      <c r="E6" s="250"/>
      <c r="F6" s="250"/>
      <c r="G6" s="252"/>
      <c r="H6" s="250"/>
      <c r="I6" s="257"/>
      <c r="J6" s="250"/>
      <c r="K6" s="252"/>
      <c r="L6" s="252"/>
      <c r="M6" s="250"/>
      <c r="N6" s="250"/>
      <c r="O6" s="252"/>
      <c r="P6" s="252"/>
      <c r="Q6" s="252"/>
      <c r="R6" s="385"/>
    </row>
    <row r="7" spans="1:18" ht="15.6" x14ac:dyDescent="0.35">
      <c r="A7" s="255" t="s">
        <v>226</v>
      </c>
      <c r="B7" s="250"/>
      <c r="C7" s="250"/>
      <c r="D7" s="252"/>
      <c r="E7" s="250"/>
      <c r="F7" s="250"/>
      <c r="G7" s="252"/>
      <c r="H7" s="250"/>
      <c r="I7" s="248"/>
      <c r="J7" s="250"/>
      <c r="K7" s="252"/>
      <c r="L7" s="252"/>
      <c r="M7" s="250"/>
      <c r="N7" s="250"/>
      <c r="O7" s="252"/>
      <c r="P7" s="252"/>
      <c r="Q7" s="252"/>
      <c r="R7" s="385"/>
    </row>
    <row r="8" spans="1:18" s="389" customFormat="1" ht="15.6" x14ac:dyDescent="0.4">
      <c r="A8" s="237" t="s">
        <v>227</v>
      </c>
      <c r="B8" s="387"/>
      <c r="C8" s="387"/>
      <c r="D8" s="267"/>
      <c r="E8" s="387"/>
      <c r="F8" s="387"/>
      <c r="G8" s="267"/>
      <c r="H8" s="387"/>
      <c r="I8" s="265"/>
      <c r="J8" s="387"/>
      <c r="K8" s="267"/>
      <c r="L8" s="267"/>
      <c r="M8" s="265"/>
      <c r="N8" s="387"/>
      <c r="O8" s="267"/>
      <c r="P8" s="267"/>
      <c r="Q8" s="267"/>
      <c r="R8" s="388"/>
    </row>
    <row r="9" spans="1:18" ht="15.6" x14ac:dyDescent="0.35">
      <c r="A9" s="255" t="s">
        <v>228</v>
      </c>
      <c r="B9" s="250"/>
      <c r="C9" s="250"/>
      <c r="D9" s="252"/>
      <c r="E9" s="250"/>
      <c r="F9" s="250"/>
      <c r="G9" s="252"/>
      <c r="H9" s="250"/>
      <c r="I9" s="390"/>
      <c r="J9" s="250"/>
      <c r="K9" s="252"/>
      <c r="L9" s="252"/>
      <c r="M9" s="250"/>
      <c r="N9" s="250"/>
      <c r="O9" s="252"/>
      <c r="P9" s="252"/>
      <c r="Q9" s="252"/>
      <c r="R9" s="385"/>
    </row>
    <row r="10" spans="1:18" ht="15.6" x14ac:dyDescent="0.35">
      <c r="A10" s="244" t="s">
        <v>229</v>
      </c>
      <c r="B10" s="250"/>
      <c r="C10" s="250"/>
      <c r="D10" s="252"/>
      <c r="E10" s="250"/>
      <c r="F10" s="250"/>
      <c r="G10" s="252"/>
      <c r="H10" s="250"/>
      <c r="I10" s="390"/>
      <c r="J10" s="250"/>
      <c r="K10" s="252"/>
      <c r="L10" s="252"/>
      <c r="M10" s="250"/>
      <c r="N10" s="250"/>
      <c r="O10" s="252"/>
      <c r="P10" s="252"/>
      <c r="Q10" s="252"/>
      <c r="R10" s="385"/>
    </row>
    <row r="11" spans="1:18" s="389" customFormat="1" ht="15.6" x14ac:dyDescent="0.4">
      <c r="A11" s="237" t="s">
        <v>230</v>
      </c>
      <c r="B11" s="387"/>
      <c r="C11" s="387"/>
      <c r="D11" s="267"/>
      <c r="E11" s="387"/>
      <c r="F11" s="387"/>
      <c r="G11" s="267"/>
      <c r="H11" s="387"/>
      <c r="I11" s="265"/>
      <c r="J11" s="387"/>
      <c r="K11" s="267"/>
      <c r="L11" s="267"/>
      <c r="M11" s="265"/>
      <c r="N11" s="387"/>
      <c r="O11" s="267"/>
      <c r="P11" s="267"/>
      <c r="Q11" s="267"/>
      <c r="R11" s="388"/>
    </row>
    <row r="12" spans="1:18" ht="15.6" x14ac:dyDescent="0.35">
      <c r="A12" s="244" t="s">
        <v>231</v>
      </c>
      <c r="B12" s="250"/>
      <c r="C12" s="250"/>
      <c r="D12" s="252"/>
      <c r="E12" s="250"/>
      <c r="F12" s="250"/>
      <c r="G12" s="252"/>
      <c r="H12" s="250"/>
      <c r="I12" s="257"/>
      <c r="J12" s="250"/>
      <c r="K12" s="252"/>
      <c r="L12" s="252"/>
      <c r="M12" s="269"/>
      <c r="N12" s="250"/>
      <c r="O12" s="252"/>
      <c r="P12" s="252"/>
      <c r="Q12" s="252"/>
      <c r="R12" s="385"/>
    </row>
    <row r="13" spans="1:18" ht="15.6" x14ac:dyDescent="0.35">
      <c r="A13" s="255" t="s">
        <v>232</v>
      </c>
      <c r="B13" s="250"/>
      <c r="C13" s="250"/>
      <c r="D13" s="252"/>
      <c r="E13" s="250"/>
      <c r="F13" s="250"/>
      <c r="G13" s="252"/>
      <c r="H13" s="250"/>
      <c r="I13" s="257"/>
      <c r="J13" s="250"/>
      <c r="K13" s="252"/>
      <c r="L13" s="252"/>
      <c r="M13" s="250"/>
      <c r="N13" s="250"/>
      <c r="O13" s="252"/>
      <c r="P13" s="252"/>
      <c r="Q13" s="252"/>
      <c r="R13" s="385"/>
    </row>
    <row r="14" spans="1:18" s="389" customFormat="1" ht="15.6" x14ac:dyDescent="0.4">
      <c r="A14" s="237" t="s">
        <v>233</v>
      </c>
      <c r="B14" s="387"/>
      <c r="C14" s="387"/>
      <c r="D14" s="267"/>
      <c r="E14" s="387"/>
      <c r="F14" s="387"/>
      <c r="G14" s="267"/>
      <c r="H14" s="387"/>
      <c r="I14" s="265"/>
      <c r="J14" s="387"/>
      <c r="K14" s="267"/>
      <c r="L14" s="267"/>
      <c r="M14" s="265"/>
      <c r="N14" s="387"/>
      <c r="O14" s="267"/>
      <c r="P14" s="267"/>
      <c r="Q14" s="267"/>
      <c r="R14" s="388"/>
    </row>
    <row r="15" spans="1:18" ht="15.6" x14ac:dyDescent="0.35">
      <c r="A15" s="255" t="s">
        <v>234</v>
      </c>
      <c r="B15" s="250"/>
      <c r="C15" s="250"/>
      <c r="D15" s="252"/>
      <c r="E15" s="250"/>
      <c r="F15" s="250"/>
      <c r="G15" s="252"/>
      <c r="H15" s="250"/>
      <c r="I15" s="257"/>
      <c r="J15" s="250"/>
      <c r="K15" s="252"/>
      <c r="L15" s="252"/>
      <c r="M15" s="250"/>
      <c r="N15" s="250"/>
      <c r="O15" s="252"/>
      <c r="P15" s="252"/>
      <c r="Q15" s="252"/>
      <c r="R15" s="385"/>
    </row>
    <row r="16" spans="1:18" ht="15.6" x14ac:dyDescent="0.35">
      <c r="A16" s="244" t="s">
        <v>235</v>
      </c>
      <c r="B16" s="250"/>
      <c r="C16" s="250"/>
      <c r="D16" s="252"/>
      <c r="E16" s="250"/>
      <c r="F16" s="250"/>
      <c r="G16" s="252"/>
      <c r="H16" s="250"/>
      <c r="I16" s="248"/>
      <c r="J16" s="250"/>
      <c r="K16" s="252"/>
      <c r="L16" s="252"/>
      <c r="M16" s="250"/>
      <c r="N16" s="250"/>
      <c r="O16" s="252"/>
      <c r="P16" s="252"/>
      <c r="Q16" s="252"/>
      <c r="R16" s="385"/>
    </row>
    <row r="17" spans="1:18" ht="15.6" x14ac:dyDescent="0.35">
      <c r="A17" s="244" t="s">
        <v>236</v>
      </c>
      <c r="B17" s="250"/>
      <c r="C17" s="250"/>
      <c r="D17" s="252"/>
      <c r="E17" s="250"/>
      <c r="F17" s="250"/>
      <c r="G17" s="252"/>
      <c r="H17" s="250"/>
      <c r="I17" s="257"/>
      <c r="J17" s="250"/>
      <c r="K17" s="252"/>
      <c r="L17" s="252"/>
      <c r="M17" s="250"/>
      <c r="N17" s="250"/>
      <c r="O17" s="252"/>
      <c r="P17" s="252"/>
      <c r="Q17" s="252"/>
      <c r="R17" s="385"/>
    </row>
    <row r="18" spans="1:18" s="389" customFormat="1" ht="15.6" x14ac:dyDescent="0.4">
      <c r="A18" s="237" t="s">
        <v>237</v>
      </c>
      <c r="B18" s="387"/>
      <c r="C18" s="387"/>
      <c r="D18" s="267"/>
      <c r="E18" s="387"/>
      <c r="F18" s="387"/>
      <c r="G18" s="267"/>
      <c r="H18" s="387"/>
      <c r="I18" s="265"/>
      <c r="J18" s="387"/>
      <c r="K18" s="267"/>
      <c r="L18" s="267"/>
      <c r="M18" s="265"/>
      <c r="N18" s="387"/>
      <c r="O18" s="267"/>
      <c r="P18" s="267"/>
      <c r="Q18" s="267"/>
      <c r="R18" s="388"/>
    </row>
    <row r="19" spans="1:18" ht="15.6" x14ac:dyDescent="0.35">
      <c r="A19" s="244" t="s">
        <v>238</v>
      </c>
      <c r="B19" s="250"/>
      <c r="C19" s="250"/>
      <c r="D19" s="252"/>
      <c r="E19" s="250"/>
      <c r="F19" s="250"/>
      <c r="G19" s="252"/>
      <c r="H19" s="250"/>
      <c r="I19" s="248"/>
      <c r="J19" s="250"/>
      <c r="K19" s="252"/>
      <c r="L19" s="252"/>
      <c r="M19" s="250"/>
      <c r="N19" s="250"/>
      <c r="O19" s="252"/>
      <c r="P19" s="252"/>
      <c r="Q19" s="252"/>
      <c r="R19" s="385"/>
    </row>
    <row r="20" spans="1:18" s="389" customFormat="1" ht="15.6" x14ac:dyDescent="0.4">
      <c r="A20" s="237" t="s">
        <v>239</v>
      </c>
      <c r="B20" s="387"/>
      <c r="C20" s="387"/>
      <c r="D20" s="267"/>
      <c r="E20" s="387"/>
      <c r="F20" s="387"/>
      <c r="G20" s="267"/>
      <c r="H20" s="387"/>
      <c r="I20" s="265"/>
      <c r="J20" s="387"/>
      <c r="K20" s="267"/>
      <c r="L20" s="267"/>
      <c r="M20" s="265"/>
      <c r="N20" s="387"/>
      <c r="O20" s="267"/>
      <c r="P20" s="267"/>
      <c r="Q20" s="267"/>
      <c r="R20" s="388"/>
    </row>
    <row r="21" spans="1:18" ht="15.6" x14ac:dyDescent="0.35">
      <c r="A21" s="255" t="s">
        <v>240</v>
      </c>
      <c r="B21" s="250"/>
      <c r="C21" s="250"/>
      <c r="D21" s="252"/>
      <c r="E21" s="250"/>
      <c r="F21" s="250"/>
      <c r="G21" s="252"/>
      <c r="H21" s="250"/>
      <c r="I21" s="277"/>
      <c r="J21" s="250"/>
      <c r="K21" s="252"/>
      <c r="L21" s="252"/>
      <c r="M21" s="250"/>
      <c r="N21" s="250"/>
      <c r="O21" s="252"/>
      <c r="P21" s="252"/>
      <c r="Q21" s="252"/>
      <c r="R21" s="385"/>
    </row>
    <row r="22" spans="1:18" ht="15.6" x14ac:dyDescent="0.35">
      <c r="A22" s="244" t="s">
        <v>241</v>
      </c>
      <c r="B22" s="250"/>
      <c r="C22" s="250"/>
      <c r="D22" s="252"/>
      <c r="E22" s="250"/>
      <c r="F22" s="250"/>
      <c r="G22" s="252"/>
      <c r="H22" s="250"/>
      <c r="I22" s="248"/>
      <c r="J22" s="250"/>
      <c r="K22" s="252"/>
      <c r="L22" s="252"/>
      <c r="M22" s="250"/>
      <c r="N22" s="250"/>
      <c r="O22" s="252"/>
      <c r="P22" s="252"/>
      <c r="Q22" s="252"/>
      <c r="R22" s="385"/>
    </row>
    <row r="23" spans="1:18" s="389" customFormat="1" ht="15.6" x14ac:dyDescent="0.4">
      <c r="A23" s="237" t="s">
        <v>242</v>
      </c>
      <c r="B23" s="387"/>
      <c r="C23" s="387"/>
      <c r="D23" s="267"/>
      <c r="E23" s="387"/>
      <c r="F23" s="387"/>
      <c r="G23" s="267"/>
      <c r="H23" s="387"/>
      <c r="I23" s="265"/>
      <c r="J23" s="387"/>
      <c r="K23" s="267"/>
      <c r="L23" s="267"/>
      <c r="M23" s="265"/>
      <c r="N23" s="387"/>
      <c r="O23" s="267"/>
      <c r="P23" s="267"/>
      <c r="Q23" s="267"/>
      <c r="R23" s="388"/>
    </row>
    <row r="24" spans="1:18" s="389" customFormat="1" ht="15.6" hidden="1" x14ac:dyDescent="0.4">
      <c r="A24" s="262" t="s">
        <v>243</v>
      </c>
      <c r="B24" s="387"/>
      <c r="C24" s="387"/>
      <c r="D24" s="267"/>
      <c r="E24" s="387"/>
      <c r="F24" s="387"/>
      <c r="G24" s="267"/>
      <c r="H24" s="387"/>
      <c r="I24" s="289"/>
      <c r="J24" s="387"/>
      <c r="K24" s="267"/>
      <c r="L24" s="267"/>
      <c r="M24" s="289"/>
      <c r="N24" s="387"/>
      <c r="O24" s="267"/>
      <c r="P24" s="267"/>
      <c r="Q24" s="267"/>
      <c r="R24" s="388"/>
    </row>
    <row r="25" spans="1:18" s="389" customFormat="1" ht="15.6" hidden="1" x14ac:dyDescent="0.4">
      <c r="A25" s="262" t="s">
        <v>244</v>
      </c>
      <c r="B25" s="387"/>
      <c r="C25" s="387"/>
      <c r="D25" s="267"/>
      <c r="E25" s="387"/>
      <c r="F25" s="387"/>
      <c r="G25" s="267"/>
      <c r="H25" s="387"/>
      <c r="I25" s="289"/>
      <c r="J25" s="387"/>
      <c r="K25" s="267"/>
      <c r="L25" s="267"/>
      <c r="M25" s="289"/>
      <c r="N25" s="387"/>
      <c r="O25" s="267"/>
      <c r="P25" s="267"/>
      <c r="Q25" s="267"/>
      <c r="R25" s="388"/>
    </row>
    <row r="26" spans="1:18" s="389" customFormat="1" ht="15.6" hidden="1" x14ac:dyDescent="0.4">
      <c r="A26" s="262" t="s">
        <v>245</v>
      </c>
      <c r="B26" s="387"/>
      <c r="C26" s="387"/>
      <c r="D26" s="267"/>
      <c r="E26" s="387"/>
      <c r="F26" s="387"/>
      <c r="G26" s="267"/>
      <c r="H26" s="387"/>
      <c r="I26" s="289"/>
      <c r="J26" s="387"/>
      <c r="K26" s="267"/>
      <c r="L26" s="267"/>
      <c r="M26" s="289"/>
      <c r="N26" s="387"/>
      <c r="O26" s="267"/>
      <c r="P26" s="267"/>
      <c r="Q26" s="267"/>
      <c r="R26" s="388"/>
    </row>
    <row r="27" spans="1:18" s="389" customFormat="1" ht="15.6" hidden="1" x14ac:dyDescent="0.4">
      <c r="A27" s="262" t="s">
        <v>246</v>
      </c>
      <c r="B27" s="387"/>
      <c r="C27" s="387"/>
      <c r="D27" s="267"/>
      <c r="E27" s="387"/>
      <c r="F27" s="387"/>
      <c r="G27" s="267"/>
      <c r="H27" s="387"/>
      <c r="I27" s="289"/>
      <c r="J27" s="387"/>
      <c r="K27" s="267"/>
      <c r="L27" s="267"/>
      <c r="M27" s="289"/>
      <c r="N27" s="387"/>
      <c r="O27" s="267"/>
      <c r="P27" s="267"/>
      <c r="Q27" s="267"/>
      <c r="R27" s="388"/>
    </row>
    <row r="28" spans="1:18" s="389" customFormat="1" ht="15.6" hidden="1" x14ac:dyDescent="0.4">
      <c r="A28" s="262" t="s">
        <v>247</v>
      </c>
      <c r="B28" s="387"/>
      <c r="C28" s="387"/>
      <c r="D28" s="267"/>
      <c r="E28" s="387"/>
      <c r="F28" s="387"/>
      <c r="G28" s="267"/>
      <c r="H28" s="387"/>
      <c r="I28" s="289"/>
      <c r="J28" s="387"/>
      <c r="K28" s="267"/>
      <c r="L28" s="267"/>
      <c r="M28" s="289"/>
      <c r="N28" s="387"/>
      <c r="O28" s="267"/>
      <c r="P28" s="267"/>
      <c r="Q28" s="267"/>
      <c r="R28" s="388"/>
    </row>
    <row r="29" spans="1:18" s="389" customFormat="1" ht="15.6" hidden="1" x14ac:dyDescent="0.4">
      <c r="A29" s="262" t="s">
        <v>248</v>
      </c>
      <c r="B29" s="387"/>
      <c r="C29" s="387"/>
      <c r="D29" s="267"/>
      <c r="E29" s="387"/>
      <c r="F29" s="387"/>
      <c r="G29" s="267"/>
      <c r="H29" s="387"/>
      <c r="I29" s="289"/>
      <c r="J29" s="387"/>
      <c r="K29" s="267"/>
      <c r="L29" s="267"/>
      <c r="M29" s="289"/>
      <c r="N29" s="387"/>
      <c r="O29" s="267"/>
      <c r="P29" s="267"/>
      <c r="Q29" s="267"/>
      <c r="R29" s="388"/>
    </row>
    <row r="30" spans="1:18" s="389" customFormat="1" ht="15.6" hidden="1" x14ac:dyDescent="0.4">
      <c r="A30" s="262" t="s">
        <v>249</v>
      </c>
      <c r="B30" s="387"/>
      <c r="C30" s="387"/>
      <c r="D30" s="267"/>
      <c r="E30" s="387"/>
      <c r="F30" s="387"/>
      <c r="G30" s="267"/>
      <c r="H30" s="387"/>
      <c r="I30" s="289"/>
      <c r="J30" s="387"/>
      <c r="K30" s="267"/>
      <c r="L30" s="267"/>
      <c r="M30" s="289"/>
      <c r="N30" s="387"/>
      <c r="O30" s="267"/>
      <c r="P30" s="267"/>
      <c r="Q30" s="267"/>
      <c r="R30" s="388"/>
    </row>
    <row r="31" spans="1:18" s="389" customFormat="1" ht="15.6" hidden="1" x14ac:dyDescent="0.4">
      <c r="A31" s="262" t="s">
        <v>250</v>
      </c>
      <c r="B31" s="387"/>
      <c r="C31" s="387"/>
      <c r="D31" s="267"/>
      <c r="E31" s="387"/>
      <c r="F31" s="387"/>
      <c r="G31" s="267"/>
      <c r="H31" s="387"/>
      <c r="I31" s="289"/>
      <c r="J31" s="387"/>
      <c r="K31" s="267"/>
      <c r="L31" s="267"/>
      <c r="M31" s="289"/>
      <c r="N31" s="387"/>
      <c r="O31" s="267"/>
      <c r="P31" s="267"/>
      <c r="Q31" s="267"/>
      <c r="R31" s="388"/>
    </row>
    <row r="32" spans="1:18" s="389" customFormat="1" ht="15.6" hidden="1" x14ac:dyDescent="0.4">
      <c r="A32" s="262" t="s">
        <v>251</v>
      </c>
      <c r="B32" s="387"/>
      <c r="C32" s="387"/>
      <c r="D32" s="267"/>
      <c r="E32" s="387"/>
      <c r="F32" s="387"/>
      <c r="G32" s="267"/>
      <c r="H32" s="387"/>
      <c r="I32" s="289"/>
      <c r="J32" s="387"/>
      <c r="K32" s="267"/>
      <c r="L32" s="267"/>
      <c r="M32" s="289"/>
      <c r="N32" s="387"/>
      <c r="O32" s="267"/>
      <c r="P32" s="267"/>
      <c r="Q32" s="267"/>
      <c r="R32" s="388"/>
    </row>
    <row r="33" spans="1:18" s="389" customFormat="1" ht="15.6" hidden="1" x14ac:dyDescent="0.4">
      <c r="A33" s="262" t="s">
        <v>252</v>
      </c>
      <c r="B33" s="387"/>
      <c r="C33" s="387"/>
      <c r="D33" s="267"/>
      <c r="E33" s="387"/>
      <c r="F33" s="387"/>
      <c r="G33" s="267"/>
      <c r="H33" s="387"/>
      <c r="I33" s="289"/>
      <c r="J33" s="387"/>
      <c r="K33" s="267"/>
      <c r="L33" s="267"/>
      <c r="M33" s="289"/>
      <c r="N33" s="387"/>
      <c r="O33" s="267"/>
      <c r="P33" s="267"/>
      <c r="Q33" s="267"/>
      <c r="R33" s="388"/>
    </row>
    <row r="34" spans="1:18" s="389" customFormat="1" ht="15.6" hidden="1" x14ac:dyDescent="0.4">
      <c r="A34" s="262" t="s">
        <v>253</v>
      </c>
      <c r="B34" s="387"/>
      <c r="C34" s="387"/>
      <c r="D34" s="267"/>
      <c r="E34" s="387"/>
      <c r="F34" s="387"/>
      <c r="G34" s="267"/>
      <c r="H34" s="387"/>
      <c r="I34" s="289"/>
      <c r="J34" s="387"/>
      <c r="K34" s="267"/>
      <c r="L34" s="267"/>
      <c r="M34" s="289"/>
      <c r="N34" s="387"/>
      <c r="O34" s="267"/>
      <c r="P34" s="267"/>
      <c r="Q34" s="267"/>
      <c r="R34" s="388"/>
    </row>
    <row r="35" spans="1:18" s="389" customFormat="1" ht="15.6" hidden="1" x14ac:dyDescent="0.4">
      <c r="A35" s="262" t="s">
        <v>254</v>
      </c>
      <c r="B35" s="387"/>
      <c r="C35" s="387"/>
      <c r="D35" s="267"/>
      <c r="E35" s="387"/>
      <c r="F35" s="387"/>
      <c r="G35" s="267"/>
      <c r="H35" s="387"/>
      <c r="I35" s="289"/>
      <c r="J35" s="387"/>
      <c r="K35" s="267"/>
      <c r="L35" s="267"/>
      <c r="M35" s="289"/>
      <c r="N35" s="387"/>
      <c r="O35" s="267"/>
      <c r="P35" s="267"/>
      <c r="Q35" s="267"/>
      <c r="R35" s="388"/>
    </row>
    <row r="36" spans="1:18" s="389" customFormat="1" ht="15.6" x14ac:dyDescent="0.4">
      <c r="A36" s="237" t="s">
        <v>255</v>
      </c>
      <c r="B36" s="387"/>
      <c r="C36" s="387"/>
      <c r="D36" s="267"/>
      <c r="E36" s="387"/>
      <c r="F36" s="387"/>
      <c r="G36" s="267"/>
      <c r="H36" s="387"/>
      <c r="I36" s="391"/>
      <c r="J36" s="387"/>
      <c r="K36" s="267"/>
      <c r="L36" s="267"/>
      <c r="M36" s="293"/>
      <c r="N36" s="387"/>
      <c r="O36" s="267"/>
      <c r="P36" s="267"/>
      <c r="Q36" s="267"/>
      <c r="R36" s="388"/>
    </row>
    <row r="37" spans="1:18" ht="15.6" x14ac:dyDescent="0.35">
      <c r="A37" s="294" t="s">
        <v>279</v>
      </c>
      <c r="B37" s="250"/>
      <c r="C37" s="250"/>
      <c r="D37" s="252"/>
      <c r="E37" s="250"/>
      <c r="F37" s="250"/>
      <c r="G37" s="252"/>
      <c r="H37" s="250"/>
      <c r="I37" s="257"/>
      <c r="J37" s="250"/>
      <c r="K37" s="252"/>
      <c r="L37" s="252"/>
      <c r="M37" s="250"/>
      <c r="N37" s="250"/>
      <c r="O37" s="252"/>
      <c r="P37" s="252"/>
      <c r="Q37" s="252"/>
      <c r="R37" s="385"/>
    </row>
    <row r="38" spans="1:18" ht="15.6" x14ac:dyDescent="0.35">
      <c r="A38" s="294" t="s">
        <v>257</v>
      </c>
      <c r="B38" s="250"/>
      <c r="C38" s="250"/>
      <c r="D38" s="252"/>
      <c r="E38" s="250"/>
      <c r="F38" s="250"/>
      <c r="G38" s="252"/>
      <c r="H38" s="250"/>
      <c r="I38" s="257"/>
      <c r="J38" s="250"/>
      <c r="K38" s="252"/>
      <c r="L38" s="252"/>
      <c r="M38" s="257"/>
      <c r="N38" s="250"/>
      <c r="O38" s="252"/>
      <c r="P38" s="252"/>
      <c r="Q38" s="252"/>
      <c r="R38" s="385"/>
    </row>
    <row r="39" spans="1:18" ht="15.6" x14ac:dyDescent="0.35">
      <c r="A39" s="294" t="s">
        <v>280</v>
      </c>
      <c r="B39" s="250"/>
      <c r="C39" s="250"/>
      <c r="D39" s="252"/>
      <c r="E39" s="250"/>
      <c r="F39" s="250"/>
      <c r="G39" s="252"/>
      <c r="H39" s="250"/>
      <c r="I39" s="257"/>
      <c r="J39" s="250"/>
      <c r="K39" s="252"/>
      <c r="L39" s="252"/>
      <c r="M39" s="257"/>
      <c r="N39" s="250"/>
      <c r="O39" s="252"/>
      <c r="P39" s="252"/>
      <c r="Q39" s="252"/>
      <c r="R39" s="385"/>
    </row>
    <row r="40" spans="1:18" ht="15.6" x14ac:dyDescent="0.35">
      <c r="A40" s="294" t="s">
        <v>259</v>
      </c>
      <c r="B40" s="250"/>
      <c r="C40" s="250"/>
      <c r="D40" s="252"/>
      <c r="E40" s="250"/>
      <c r="F40" s="250"/>
      <c r="G40" s="252"/>
      <c r="H40" s="250"/>
      <c r="I40" s="257"/>
      <c r="J40" s="250"/>
      <c r="K40" s="252"/>
      <c r="L40" s="252"/>
      <c r="M40" s="257"/>
      <c r="N40" s="250"/>
      <c r="O40" s="252"/>
      <c r="P40" s="252"/>
      <c r="Q40" s="252"/>
      <c r="R40" s="385"/>
    </row>
    <row r="41" spans="1:18" ht="15.6" x14ac:dyDescent="0.35">
      <c r="A41" s="244" t="s">
        <v>260</v>
      </c>
      <c r="B41" s="250"/>
      <c r="C41" s="250"/>
      <c r="D41" s="252"/>
      <c r="E41" s="250"/>
      <c r="F41" s="250"/>
      <c r="G41" s="252"/>
      <c r="H41" s="250"/>
      <c r="I41" s="289"/>
      <c r="J41" s="250"/>
      <c r="K41" s="252"/>
      <c r="L41" s="252"/>
      <c r="M41" s="289"/>
      <c r="N41" s="250"/>
      <c r="O41" s="252"/>
      <c r="P41" s="252"/>
      <c r="Q41" s="252"/>
      <c r="R41" s="385"/>
    </row>
    <row r="42" spans="1:18" s="384" customFormat="1" ht="15.6" x14ac:dyDescent="0.4">
      <c r="A42" s="237" t="s">
        <v>281</v>
      </c>
      <c r="B42" s="387"/>
      <c r="C42" s="392"/>
      <c r="D42" s="267"/>
      <c r="E42" s="387"/>
      <c r="F42" s="392"/>
      <c r="G42" s="267"/>
      <c r="H42" s="387"/>
      <c r="I42" s="310"/>
      <c r="J42" s="392"/>
      <c r="K42" s="393"/>
      <c r="L42" s="267"/>
      <c r="M42" s="310"/>
      <c r="N42" s="392"/>
      <c r="O42" s="393"/>
      <c r="P42" s="267"/>
      <c r="Q42" s="267"/>
      <c r="R42" s="388"/>
    </row>
    <row r="43" spans="1:18" ht="15.6" x14ac:dyDescent="0.35">
      <c r="A43" s="294" t="s">
        <v>262</v>
      </c>
      <c r="B43" s="250"/>
      <c r="C43" s="250"/>
      <c r="D43" s="252"/>
      <c r="E43" s="250"/>
      <c r="F43" s="250"/>
      <c r="G43" s="252"/>
      <c r="H43" s="250"/>
      <c r="I43" s="257"/>
      <c r="J43" s="250"/>
      <c r="K43" s="252"/>
      <c r="L43" s="252"/>
      <c r="M43" s="308"/>
      <c r="N43" s="250"/>
      <c r="O43" s="252"/>
      <c r="P43" s="252"/>
      <c r="Q43" s="252"/>
      <c r="R43" s="385"/>
    </row>
    <row r="44" spans="1:18" ht="15.6" x14ac:dyDescent="0.35">
      <c r="A44" s="294" t="s">
        <v>263</v>
      </c>
      <c r="B44" s="250"/>
      <c r="C44" s="250"/>
      <c r="D44" s="252"/>
      <c r="E44" s="250"/>
      <c r="F44" s="250"/>
      <c r="G44" s="252"/>
      <c r="H44" s="250"/>
      <c r="I44" s="257"/>
      <c r="J44" s="250"/>
      <c r="K44" s="252"/>
      <c r="L44" s="252"/>
      <c r="M44" s="250"/>
      <c r="N44" s="250"/>
      <c r="O44" s="252"/>
      <c r="P44" s="252"/>
      <c r="Q44" s="252"/>
      <c r="R44" s="385"/>
    </row>
    <row r="45" spans="1:18" ht="15.6" x14ac:dyDescent="0.35">
      <c r="A45" s="294" t="s">
        <v>264</v>
      </c>
      <c r="B45" s="250"/>
      <c r="C45" s="250"/>
      <c r="D45" s="252"/>
      <c r="E45" s="250"/>
      <c r="F45" s="250"/>
      <c r="G45" s="252"/>
      <c r="H45" s="250"/>
      <c r="I45" s="257"/>
      <c r="J45" s="250"/>
      <c r="K45" s="252"/>
      <c r="L45" s="252"/>
      <c r="M45" s="308"/>
      <c r="N45" s="250"/>
      <c r="O45" s="252"/>
      <c r="P45" s="252"/>
      <c r="Q45" s="252"/>
      <c r="R45" s="385"/>
    </row>
    <row r="46" spans="1:18" s="384" customFormat="1" ht="21.6" customHeight="1" x14ac:dyDescent="0.4">
      <c r="A46" s="237" t="s">
        <v>282</v>
      </c>
      <c r="B46" s="387"/>
      <c r="C46" s="392"/>
      <c r="D46" s="267"/>
      <c r="E46" s="387"/>
      <c r="F46" s="392"/>
      <c r="G46" s="267"/>
      <c r="H46" s="387"/>
      <c r="I46" s="310"/>
      <c r="J46" s="392"/>
      <c r="K46" s="393"/>
      <c r="L46" s="267"/>
      <c r="M46" s="310"/>
      <c r="N46" s="392"/>
      <c r="O46" s="393"/>
      <c r="P46" s="267"/>
      <c r="Q46" s="267"/>
      <c r="R46" s="388"/>
    </row>
    <row r="47" spans="1:18" s="384" customFormat="1" ht="21.6" customHeight="1" x14ac:dyDescent="0.4">
      <c r="A47" s="312" t="s">
        <v>283</v>
      </c>
      <c r="B47" s="394"/>
      <c r="C47" s="392"/>
      <c r="D47" s="318"/>
      <c r="E47" s="394"/>
      <c r="F47" s="392"/>
      <c r="G47" s="318"/>
      <c r="H47" s="394"/>
      <c r="I47" s="310"/>
      <c r="J47" s="392"/>
      <c r="K47" s="393"/>
      <c r="L47" s="318"/>
      <c r="M47" s="310"/>
      <c r="N47" s="392"/>
      <c r="O47" s="393"/>
      <c r="P47" s="318"/>
      <c r="Q47" s="318"/>
      <c r="R47" s="395"/>
    </row>
    <row r="49" spans="14:14" x14ac:dyDescent="0.35">
      <c r="N49" s="396"/>
    </row>
  </sheetData>
  <mergeCells count="7">
    <mergeCell ref="R1:R2"/>
    <mergeCell ref="B1:D1"/>
    <mergeCell ref="E1:G1"/>
    <mergeCell ref="H1:L1"/>
    <mergeCell ref="M1:O1"/>
    <mergeCell ref="P1:P2"/>
    <mergeCell ref="Q1:Q2"/>
  </mergeCells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8"/>
  <sheetViews>
    <sheetView zoomScale="70" zoomScaleNormal="70" workbookViewId="0">
      <pane xSplit="1" ySplit="2" topLeftCell="D41" activePane="bottomRight" state="frozen"/>
      <selection activeCell="K56" sqref="K56"/>
      <selection pane="topRight" activeCell="K56" sqref="K56"/>
      <selection pane="bottomLeft" activeCell="K56" sqref="K56"/>
      <selection pane="bottomRight" activeCell="B3" sqref="B3:R63"/>
    </sheetView>
  </sheetViews>
  <sheetFormatPr defaultColWidth="8.88671875" defaultRowHeight="17.399999999999999" outlineLevelRow="1" x14ac:dyDescent="0.25"/>
  <cols>
    <col min="1" max="1" width="27.21875" style="382" bestFit="1" customWidth="1"/>
    <col min="2" max="3" width="10.6640625" style="338" bestFit="1" customWidth="1"/>
    <col min="4" max="4" width="12.88671875" style="383" bestFit="1" customWidth="1"/>
    <col min="5" max="6" width="10.6640625" style="338" bestFit="1" customWidth="1"/>
    <col min="7" max="7" width="12.21875" style="383" customWidth="1"/>
    <col min="8" max="8" width="10.6640625" style="338" bestFit="1" customWidth="1"/>
    <col min="9" max="9" width="10.44140625" style="338" bestFit="1" customWidth="1"/>
    <col min="10" max="10" width="12.88671875" style="383" bestFit="1" customWidth="1"/>
    <col min="11" max="11" width="10.44140625" style="338" bestFit="1" customWidth="1"/>
    <col min="12" max="12" width="21.44140625" style="383" bestFit="1" customWidth="1"/>
    <col min="13" max="13" width="48.33203125" style="383" customWidth="1"/>
    <col min="14" max="14" width="36" style="338" hidden="1" customWidth="1"/>
    <col min="15" max="16384" width="8.88671875" style="338"/>
  </cols>
  <sheetData>
    <row r="1" spans="1:14" s="381" customFormat="1" ht="21" customHeight="1" x14ac:dyDescent="0.25">
      <c r="A1" s="397" t="s">
        <v>207</v>
      </c>
      <c r="B1" s="617" t="s">
        <v>208</v>
      </c>
      <c r="C1" s="618"/>
      <c r="D1" s="619"/>
      <c r="E1" s="620" t="s">
        <v>209</v>
      </c>
      <c r="F1" s="620"/>
      <c r="G1" s="620"/>
      <c r="H1" s="621" t="s">
        <v>210</v>
      </c>
      <c r="I1" s="621"/>
      <c r="J1" s="621"/>
      <c r="K1" s="622" t="s">
        <v>211</v>
      </c>
      <c r="L1" s="624" t="s">
        <v>286</v>
      </c>
      <c r="M1" s="626" t="s">
        <v>213</v>
      </c>
      <c r="N1" s="611" t="s">
        <v>284</v>
      </c>
    </row>
    <row r="2" spans="1:14" s="381" customFormat="1" x14ac:dyDescent="0.25">
      <c r="A2" s="397" t="s">
        <v>214</v>
      </c>
      <c r="B2" s="397" t="s">
        <v>215</v>
      </c>
      <c r="C2" s="397" t="s">
        <v>216</v>
      </c>
      <c r="D2" s="397" t="s">
        <v>287</v>
      </c>
      <c r="E2" s="397" t="s">
        <v>218</v>
      </c>
      <c r="F2" s="397" t="s">
        <v>219</v>
      </c>
      <c r="G2" s="398" t="s">
        <v>217</v>
      </c>
      <c r="H2" s="399" t="s">
        <v>218</v>
      </c>
      <c r="I2" s="399" t="s">
        <v>220</v>
      </c>
      <c r="J2" s="400" t="s">
        <v>221</v>
      </c>
      <c r="K2" s="623"/>
      <c r="L2" s="625"/>
      <c r="M2" s="627"/>
      <c r="N2" s="612"/>
    </row>
    <row r="3" spans="1:14" ht="15.6" customHeight="1" outlineLevel="1" x14ac:dyDescent="0.25">
      <c r="A3" s="329" t="s">
        <v>222</v>
      </c>
      <c r="B3" s="401"/>
      <c r="C3" s="401"/>
      <c r="D3" s="402"/>
      <c r="E3" s="403"/>
      <c r="F3" s="403"/>
      <c r="G3" s="402"/>
      <c r="H3" s="404"/>
      <c r="I3" s="404"/>
      <c r="J3" s="361"/>
      <c r="K3" s="404"/>
      <c r="L3" s="361"/>
      <c r="M3" s="405"/>
      <c r="N3" s="337"/>
    </row>
    <row r="4" spans="1:14" ht="15.6" customHeight="1" outlineLevel="1" x14ac:dyDescent="0.25">
      <c r="A4" s="339" t="s">
        <v>223</v>
      </c>
      <c r="B4" s="406"/>
      <c r="C4" s="406"/>
      <c r="D4" s="331"/>
      <c r="E4" s="407"/>
      <c r="F4" s="407"/>
      <c r="G4" s="408"/>
      <c r="H4" s="409"/>
      <c r="I4" s="409"/>
      <c r="J4" s="410"/>
      <c r="K4" s="409"/>
      <c r="L4" s="410"/>
      <c r="M4" s="411"/>
      <c r="N4" s="337"/>
    </row>
    <row r="5" spans="1:14" ht="15.6" customHeight="1" outlineLevel="1" x14ac:dyDescent="0.25">
      <c r="A5" s="339" t="s">
        <v>224</v>
      </c>
      <c r="B5" s="406"/>
      <c r="C5" s="406"/>
      <c r="D5" s="331"/>
      <c r="E5" s="407"/>
      <c r="F5" s="407"/>
      <c r="G5" s="408"/>
      <c r="H5" s="409"/>
      <c r="I5" s="409"/>
      <c r="J5" s="410"/>
      <c r="K5" s="409"/>
      <c r="L5" s="410"/>
      <c r="M5" s="411"/>
      <c r="N5" s="337"/>
    </row>
    <row r="6" spans="1:14" ht="15.6" customHeight="1" outlineLevel="1" x14ac:dyDescent="0.25">
      <c r="A6" s="339" t="s">
        <v>225</v>
      </c>
      <c r="B6" s="406"/>
      <c r="C6" s="406"/>
      <c r="D6" s="331"/>
      <c r="E6" s="407"/>
      <c r="F6" s="407"/>
      <c r="G6" s="408"/>
      <c r="H6" s="409"/>
      <c r="I6" s="409"/>
      <c r="J6" s="410"/>
      <c r="K6" s="409"/>
      <c r="L6" s="410"/>
      <c r="M6" s="411"/>
      <c r="N6" s="337"/>
    </row>
    <row r="7" spans="1:14" ht="15.6" customHeight="1" outlineLevel="1" x14ac:dyDescent="0.25">
      <c r="A7" s="329" t="s">
        <v>226</v>
      </c>
      <c r="B7" s="401"/>
      <c r="C7" s="401"/>
      <c r="D7" s="402"/>
      <c r="E7" s="403"/>
      <c r="F7" s="403"/>
      <c r="G7" s="360"/>
      <c r="H7" s="404"/>
      <c r="I7" s="404"/>
      <c r="J7" s="361"/>
      <c r="K7" s="404"/>
      <c r="L7" s="361"/>
      <c r="M7" s="405"/>
      <c r="N7" s="337"/>
    </row>
    <row r="8" spans="1:14" s="381" customFormat="1" ht="15.6" customHeight="1" x14ac:dyDescent="0.25">
      <c r="A8" s="324" t="s">
        <v>227</v>
      </c>
      <c r="B8" s="412"/>
      <c r="C8" s="412"/>
      <c r="D8" s="326"/>
      <c r="E8" s="412"/>
      <c r="F8" s="412"/>
      <c r="G8" s="374"/>
      <c r="H8" s="412"/>
      <c r="I8" s="412"/>
      <c r="J8" s="373"/>
      <c r="K8" s="412"/>
      <c r="L8" s="373"/>
      <c r="M8" s="413"/>
      <c r="N8" s="380"/>
    </row>
    <row r="9" spans="1:14" ht="15.6" customHeight="1" outlineLevel="1" x14ac:dyDescent="0.25">
      <c r="A9" s="339" t="s">
        <v>228</v>
      </c>
      <c r="B9" s="406"/>
      <c r="C9" s="406"/>
      <c r="D9" s="331"/>
      <c r="E9" s="407"/>
      <c r="F9" s="407"/>
      <c r="G9" s="408"/>
      <c r="H9" s="409"/>
      <c r="I9" s="409"/>
      <c r="J9" s="410"/>
      <c r="K9" s="409"/>
      <c r="L9" s="410"/>
      <c r="M9" s="411"/>
      <c r="N9" s="337"/>
    </row>
    <row r="10" spans="1:14" ht="15.6" customHeight="1" outlineLevel="1" x14ac:dyDescent="0.25">
      <c r="A10" s="329" t="s">
        <v>229</v>
      </c>
      <c r="B10" s="401"/>
      <c r="C10" s="401"/>
      <c r="D10" s="402"/>
      <c r="E10" s="403"/>
      <c r="F10" s="403"/>
      <c r="G10" s="360"/>
      <c r="H10" s="404"/>
      <c r="I10" s="404"/>
      <c r="J10" s="361"/>
      <c r="K10" s="404"/>
      <c r="L10" s="361"/>
      <c r="M10" s="405"/>
      <c r="N10" s="337"/>
    </row>
    <row r="11" spans="1:14" s="381" customFormat="1" ht="15.6" customHeight="1" x14ac:dyDescent="0.25">
      <c r="A11" s="324" t="s">
        <v>230</v>
      </c>
      <c r="B11" s="324"/>
      <c r="C11" s="324"/>
      <c r="D11" s="326"/>
      <c r="E11" s="324"/>
      <c r="F11" s="324"/>
      <c r="G11" s="374"/>
      <c r="H11" s="324"/>
      <c r="I11" s="324"/>
      <c r="J11" s="373"/>
      <c r="K11" s="324"/>
      <c r="L11" s="373"/>
      <c r="M11" s="413"/>
      <c r="N11" s="380"/>
    </row>
    <row r="12" spans="1:14" ht="15.6" customHeight="1" outlineLevel="1" x14ac:dyDescent="0.25">
      <c r="A12" s="329" t="s">
        <v>231</v>
      </c>
      <c r="B12" s="401"/>
      <c r="C12" s="401"/>
      <c r="D12" s="402"/>
      <c r="E12" s="403"/>
      <c r="F12" s="403"/>
      <c r="G12" s="360"/>
      <c r="H12" s="404"/>
      <c r="I12" s="404"/>
      <c r="J12" s="361"/>
      <c r="K12" s="404"/>
      <c r="L12" s="361"/>
      <c r="M12" s="405"/>
      <c r="N12" s="347"/>
    </row>
    <row r="13" spans="1:14" ht="15.6" customHeight="1" outlineLevel="1" x14ac:dyDescent="0.25">
      <c r="A13" s="329" t="s">
        <v>277</v>
      </c>
      <c r="B13" s="401"/>
      <c r="C13" s="401"/>
      <c r="D13" s="402"/>
      <c r="E13" s="403"/>
      <c r="F13" s="403"/>
      <c r="G13" s="360"/>
      <c r="H13" s="404"/>
      <c r="I13" s="404"/>
      <c r="J13" s="361"/>
      <c r="K13" s="404"/>
      <c r="L13" s="361"/>
      <c r="M13" s="405"/>
      <c r="N13" s="337"/>
    </row>
    <row r="14" spans="1:14" s="381" customFormat="1" ht="15.6" customHeight="1" x14ac:dyDescent="0.25">
      <c r="A14" s="324" t="s">
        <v>233</v>
      </c>
      <c r="B14" s="412"/>
      <c r="C14" s="412"/>
      <c r="D14" s="326"/>
      <c r="E14" s="412"/>
      <c r="F14" s="412"/>
      <c r="G14" s="374"/>
      <c r="H14" s="414"/>
      <c r="I14" s="414"/>
      <c r="J14" s="373"/>
      <c r="K14" s="414"/>
      <c r="L14" s="373"/>
      <c r="M14" s="413"/>
      <c r="N14" s="380"/>
    </row>
    <row r="15" spans="1:14" ht="15.6" customHeight="1" outlineLevel="1" x14ac:dyDescent="0.25">
      <c r="A15" s="339" t="s">
        <v>234</v>
      </c>
      <c r="B15" s="406"/>
      <c r="C15" s="406"/>
      <c r="D15" s="331"/>
      <c r="E15" s="407"/>
      <c r="F15" s="407"/>
      <c r="G15" s="408"/>
      <c r="H15" s="409"/>
      <c r="I15" s="409"/>
      <c r="J15" s="410"/>
      <c r="K15" s="409"/>
      <c r="L15" s="410"/>
      <c r="M15" s="411"/>
      <c r="N15" s="337"/>
    </row>
    <row r="16" spans="1:14" ht="15.6" customHeight="1" outlineLevel="1" x14ac:dyDescent="0.25">
      <c r="A16" s="329" t="s">
        <v>235</v>
      </c>
      <c r="B16" s="401"/>
      <c r="C16" s="401"/>
      <c r="D16" s="402"/>
      <c r="E16" s="403"/>
      <c r="F16" s="403"/>
      <c r="G16" s="360"/>
      <c r="H16" s="404"/>
      <c r="I16" s="404"/>
      <c r="J16" s="361"/>
      <c r="K16" s="404"/>
      <c r="L16" s="361"/>
      <c r="M16" s="405"/>
      <c r="N16" s="337"/>
    </row>
    <row r="17" spans="1:14" ht="15.6" customHeight="1" outlineLevel="1" x14ac:dyDescent="0.25">
      <c r="A17" s="329" t="s">
        <v>278</v>
      </c>
      <c r="B17" s="401"/>
      <c r="C17" s="401"/>
      <c r="D17" s="402"/>
      <c r="E17" s="403"/>
      <c r="F17" s="403"/>
      <c r="G17" s="360"/>
      <c r="H17" s="404"/>
      <c r="I17" s="404"/>
      <c r="J17" s="361"/>
      <c r="K17" s="404"/>
      <c r="L17" s="361"/>
      <c r="M17" s="405"/>
      <c r="N17" s="337"/>
    </row>
    <row r="18" spans="1:14" s="381" customFormat="1" ht="15.6" customHeight="1" x14ac:dyDescent="0.25">
      <c r="A18" s="324" t="s">
        <v>237</v>
      </c>
      <c r="B18" s="324"/>
      <c r="C18" s="324"/>
      <c r="D18" s="326"/>
      <c r="E18" s="324"/>
      <c r="F18" s="324"/>
      <c r="G18" s="374"/>
      <c r="H18" s="324"/>
      <c r="I18" s="324"/>
      <c r="J18" s="373"/>
      <c r="K18" s="324"/>
      <c r="L18" s="373"/>
      <c r="M18" s="413"/>
      <c r="N18" s="380"/>
    </row>
    <row r="19" spans="1:14" s="351" customFormat="1" ht="15.6" customHeight="1" x14ac:dyDescent="0.25">
      <c r="A19" s="329" t="s">
        <v>238</v>
      </c>
      <c r="B19" s="401"/>
      <c r="C19" s="401"/>
      <c r="D19" s="402"/>
      <c r="E19" s="403"/>
      <c r="F19" s="403"/>
      <c r="G19" s="360"/>
      <c r="H19" s="404"/>
      <c r="I19" s="404"/>
      <c r="J19" s="361"/>
      <c r="K19" s="404"/>
      <c r="L19" s="361"/>
      <c r="M19" s="405"/>
      <c r="N19" s="350"/>
    </row>
    <row r="20" spans="1:14" s="381" customFormat="1" ht="15.6" customHeight="1" x14ac:dyDescent="0.25">
      <c r="A20" s="324" t="s">
        <v>239</v>
      </c>
      <c r="B20" s="324"/>
      <c r="C20" s="324"/>
      <c r="D20" s="326"/>
      <c r="E20" s="412"/>
      <c r="F20" s="412"/>
      <c r="G20" s="374"/>
      <c r="H20" s="414"/>
      <c r="I20" s="414"/>
      <c r="J20" s="373"/>
      <c r="K20" s="414"/>
      <c r="L20" s="373"/>
      <c r="M20" s="413"/>
      <c r="N20" s="380"/>
    </row>
    <row r="21" spans="1:14" s="356" customFormat="1" ht="15.6" customHeight="1" outlineLevel="1" x14ac:dyDescent="0.25">
      <c r="A21" s="339" t="s">
        <v>240</v>
      </c>
      <c r="B21" s="406"/>
      <c r="C21" s="406"/>
      <c r="D21" s="331"/>
      <c r="E21" s="407"/>
      <c r="F21" s="407"/>
      <c r="G21" s="408"/>
      <c r="H21" s="409"/>
      <c r="I21" s="409"/>
      <c r="J21" s="410"/>
      <c r="K21" s="409"/>
      <c r="L21" s="410"/>
      <c r="M21" s="411"/>
      <c r="N21" s="355"/>
    </row>
    <row r="22" spans="1:14" ht="15.6" customHeight="1" outlineLevel="1" x14ac:dyDescent="0.25">
      <c r="A22" s="329" t="s">
        <v>241</v>
      </c>
      <c r="B22" s="401"/>
      <c r="C22" s="401"/>
      <c r="D22" s="402"/>
      <c r="E22" s="403"/>
      <c r="F22" s="403"/>
      <c r="G22" s="360"/>
      <c r="H22" s="404"/>
      <c r="I22" s="404"/>
      <c r="J22" s="361"/>
      <c r="K22" s="404"/>
      <c r="L22" s="361"/>
      <c r="M22" s="405"/>
      <c r="N22" s="337"/>
    </row>
    <row r="23" spans="1:14" s="381" customFormat="1" ht="15.6" customHeight="1" x14ac:dyDescent="0.25">
      <c r="A23" s="324" t="s">
        <v>242</v>
      </c>
      <c r="B23" s="324"/>
      <c r="C23" s="324"/>
      <c r="D23" s="326"/>
      <c r="E23" s="324"/>
      <c r="F23" s="324"/>
      <c r="G23" s="374"/>
      <c r="H23" s="324"/>
      <c r="I23" s="324"/>
      <c r="J23" s="373"/>
      <c r="K23" s="324"/>
      <c r="L23" s="373"/>
      <c r="M23" s="413"/>
      <c r="N23" s="380"/>
    </row>
    <row r="24" spans="1:14" s="365" customFormat="1" hidden="1" x14ac:dyDescent="0.25">
      <c r="A24" s="397" t="s">
        <v>243</v>
      </c>
      <c r="B24" s="415"/>
      <c r="C24" s="415"/>
      <c r="D24" s="416"/>
      <c r="E24" s="417"/>
      <c r="F24" s="417"/>
      <c r="G24" s="418"/>
      <c r="H24" s="419"/>
      <c r="I24" s="419"/>
      <c r="J24" s="420"/>
      <c r="K24" s="419"/>
      <c r="L24" s="420"/>
      <c r="M24" s="421"/>
      <c r="N24" s="364"/>
    </row>
    <row r="25" spans="1:14" s="365" customFormat="1" hidden="1" x14ac:dyDescent="0.25">
      <c r="A25" s="397" t="s">
        <v>244</v>
      </c>
      <c r="B25" s="415"/>
      <c r="C25" s="415"/>
      <c r="D25" s="416"/>
      <c r="E25" s="417"/>
      <c r="F25" s="417"/>
      <c r="G25" s="418"/>
      <c r="H25" s="419"/>
      <c r="I25" s="419"/>
      <c r="J25" s="420"/>
      <c r="K25" s="419"/>
      <c r="L25" s="420"/>
      <c r="M25" s="421"/>
      <c r="N25" s="364"/>
    </row>
    <row r="26" spans="1:14" s="365" customFormat="1" hidden="1" x14ac:dyDescent="0.25">
      <c r="A26" s="397" t="s">
        <v>245</v>
      </c>
      <c r="B26" s="415"/>
      <c r="C26" s="415"/>
      <c r="D26" s="416"/>
      <c r="E26" s="417"/>
      <c r="F26" s="417"/>
      <c r="G26" s="418"/>
      <c r="H26" s="419"/>
      <c r="I26" s="419"/>
      <c r="J26" s="420"/>
      <c r="K26" s="419"/>
      <c r="L26" s="420"/>
      <c r="M26" s="421"/>
      <c r="N26" s="364"/>
    </row>
    <row r="27" spans="1:14" s="365" customFormat="1" hidden="1" x14ac:dyDescent="0.25">
      <c r="A27" s="397" t="s">
        <v>246</v>
      </c>
      <c r="B27" s="415"/>
      <c r="C27" s="415"/>
      <c r="D27" s="416"/>
      <c r="E27" s="417"/>
      <c r="F27" s="417"/>
      <c r="G27" s="418"/>
      <c r="H27" s="419"/>
      <c r="I27" s="419"/>
      <c r="J27" s="420"/>
      <c r="K27" s="419"/>
      <c r="L27" s="420"/>
      <c r="M27" s="421"/>
      <c r="N27" s="364"/>
    </row>
    <row r="28" spans="1:14" s="365" customFormat="1" hidden="1" x14ac:dyDescent="0.25">
      <c r="A28" s="397" t="s">
        <v>247</v>
      </c>
      <c r="B28" s="415"/>
      <c r="C28" s="415"/>
      <c r="D28" s="416"/>
      <c r="E28" s="417"/>
      <c r="F28" s="417"/>
      <c r="G28" s="418"/>
      <c r="H28" s="419"/>
      <c r="I28" s="419"/>
      <c r="J28" s="420"/>
      <c r="K28" s="419"/>
      <c r="L28" s="420"/>
      <c r="M28" s="421"/>
      <c r="N28" s="364"/>
    </row>
    <row r="29" spans="1:14" s="365" customFormat="1" hidden="1" x14ac:dyDescent="0.25">
      <c r="A29" s="397" t="s">
        <v>248</v>
      </c>
      <c r="B29" s="415"/>
      <c r="C29" s="415"/>
      <c r="D29" s="416"/>
      <c r="E29" s="417"/>
      <c r="F29" s="417"/>
      <c r="G29" s="418"/>
      <c r="H29" s="419"/>
      <c r="I29" s="419"/>
      <c r="J29" s="420"/>
      <c r="K29" s="419"/>
      <c r="L29" s="420"/>
      <c r="M29" s="421"/>
      <c r="N29" s="364"/>
    </row>
    <row r="30" spans="1:14" s="365" customFormat="1" hidden="1" x14ac:dyDescent="0.25">
      <c r="A30" s="397" t="s">
        <v>249</v>
      </c>
      <c r="B30" s="415"/>
      <c r="C30" s="415"/>
      <c r="D30" s="416"/>
      <c r="E30" s="417"/>
      <c r="F30" s="417"/>
      <c r="G30" s="418"/>
      <c r="H30" s="419"/>
      <c r="I30" s="419"/>
      <c r="J30" s="420"/>
      <c r="K30" s="419"/>
      <c r="L30" s="420"/>
      <c r="M30" s="421"/>
      <c r="N30" s="364"/>
    </row>
    <row r="31" spans="1:14" s="365" customFormat="1" hidden="1" x14ac:dyDescent="0.25">
      <c r="A31" s="397" t="s">
        <v>250</v>
      </c>
      <c r="B31" s="415"/>
      <c r="C31" s="415"/>
      <c r="D31" s="416"/>
      <c r="E31" s="417"/>
      <c r="F31" s="417"/>
      <c r="G31" s="418"/>
      <c r="H31" s="419"/>
      <c r="I31" s="419"/>
      <c r="J31" s="420"/>
      <c r="K31" s="419"/>
      <c r="L31" s="420"/>
      <c r="M31" s="421"/>
      <c r="N31" s="364"/>
    </row>
    <row r="32" spans="1:14" s="365" customFormat="1" hidden="1" x14ac:dyDescent="0.25">
      <c r="A32" s="397" t="s">
        <v>251</v>
      </c>
      <c r="B32" s="415"/>
      <c r="C32" s="415"/>
      <c r="D32" s="416"/>
      <c r="E32" s="417"/>
      <c r="F32" s="417"/>
      <c r="G32" s="418"/>
      <c r="H32" s="419"/>
      <c r="I32" s="419"/>
      <c r="J32" s="420"/>
      <c r="K32" s="419"/>
      <c r="L32" s="420"/>
      <c r="M32" s="421"/>
      <c r="N32" s="364"/>
    </row>
    <row r="33" spans="1:14" s="365" customFormat="1" hidden="1" x14ac:dyDescent="0.25">
      <c r="A33" s="397" t="s">
        <v>252</v>
      </c>
      <c r="B33" s="415"/>
      <c r="C33" s="415"/>
      <c r="D33" s="416"/>
      <c r="E33" s="417"/>
      <c r="F33" s="417"/>
      <c r="G33" s="418"/>
      <c r="H33" s="419"/>
      <c r="I33" s="419"/>
      <c r="J33" s="420"/>
      <c r="K33" s="419"/>
      <c r="L33" s="420"/>
      <c r="M33" s="421"/>
      <c r="N33" s="364"/>
    </row>
    <row r="34" spans="1:14" s="365" customFormat="1" hidden="1" x14ac:dyDescent="0.25">
      <c r="A34" s="397" t="s">
        <v>253</v>
      </c>
      <c r="B34" s="415"/>
      <c r="C34" s="415"/>
      <c r="D34" s="416"/>
      <c r="E34" s="417"/>
      <c r="F34" s="417"/>
      <c r="G34" s="418"/>
      <c r="H34" s="419"/>
      <c r="I34" s="419"/>
      <c r="J34" s="420"/>
      <c r="K34" s="419"/>
      <c r="L34" s="420"/>
      <c r="M34" s="421"/>
      <c r="N34" s="364"/>
    </row>
    <row r="35" spans="1:14" s="365" customFormat="1" hidden="1" x14ac:dyDescent="0.25">
      <c r="A35" s="397" t="s">
        <v>254</v>
      </c>
      <c r="B35" s="415"/>
      <c r="C35" s="415"/>
      <c r="D35" s="416"/>
      <c r="E35" s="417"/>
      <c r="F35" s="417"/>
      <c r="G35" s="418"/>
      <c r="H35" s="419"/>
      <c r="I35" s="419"/>
      <c r="J35" s="420"/>
      <c r="K35" s="419"/>
      <c r="L35" s="420"/>
      <c r="M35" s="421"/>
      <c r="N35" s="364"/>
    </row>
    <row r="36" spans="1:14" s="381" customFormat="1" ht="15.6" customHeight="1" x14ac:dyDescent="0.25">
      <c r="A36" s="324" t="s">
        <v>255</v>
      </c>
      <c r="B36" s="324"/>
      <c r="C36" s="324"/>
      <c r="D36" s="326"/>
      <c r="E36" s="412"/>
      <c r="F36" s="412"/>
      <c r="G36" s="374"/>
      <c r="H36" s="414"/>
      <c r="I36" s="414"/>
      <c r="J36" s="373"/>
      <c r="K36" s="414"/>
      <c r="L36" s="373"/>
      <c r="M36" s="413"/>
      <c r="N36" s="380"/>
    </row>
    <row r="37" spans="1:14" ht="22.95" customHeight="1" x14ac:dyDescent="0.25">
      <c r="A37" s="368" t="s">
        <v>256</v>
      </c>
      <c r="B37" s="406"/>
      <c r="C37" s="406"/>
      <c r="D37" s="331"/>
      <c r="E37" s="407"/>
      <c r="F37" s="407"/>
      <c r="G37" s="408"/>
      <c r="H37" s="409"/>
      <c r="I37" s="409"/>
      <c r="J37" s="410"/>
      <c r="K37" s="409"/>
      <c r="L37" s="410"/>
      <c r="M37" s="411"/>
      <c r="N37" s="337"/>
    </row>
    <row r="38" spans="1:14" ht="15.6" customHeight="1" x14ac:dyDescent="0.25">
      <c r="A38" s="368" t="s">
        <v>257</v>
      </c>
      <c r="B38" s="406"/>
      <c r="C38" s="406"/>
      <c r="D38" s="331"/>
      <c r="E38" s="407"/>
      <c r="F38" s="407"/>
      <c r="G38" s="408"/>
      <c r="H38" s="409"/>
      <c r="I38" s="409"/>
      <c r="J38" s="410"/>
      <c r="K38" s="409"/>
      <c r="L38" s="410"/>
      <c r="M38" s="411"/>
      <c r="N38" s="337"/>
    </row>
    <row r="39" spans="1:14" ht="15.6" customHeight="1" x14ac:dyDescent="0.25">
      <c r="A39" s="368" t="s">
        <v>258</v>
      </c>
      <c r="B39" s="406"/>
      <c r="C39" s="406"/>
      <c r="D39" s="331"/>
      <c r="E39" s="407"/>
      <c r="F39" s="407"/>
      <c r="G39" s="408"/>
      <c r="H39" s="409"/>
      <c r="I39" s="409"/>
      <c r="J39" s="410"/>
      <c r="K39" s="409"/>
      <c r="L39" s="410"/>
      <c r="M39" s="411"/>
      <c r="N39" s="337"/>
    </row>
    <row r="40" spans="1:14" ht="15.6" customHeight="1" x14ac:dyDescent="0.25">
      <c r="A40" s="368" t="s">
        <v>259</v>
      </c>
      <c r="B40" s="406"/>
      <c r="C40" s="406"/>
      <c r="D40" s="331"/>
      <c r="E40" s="407"/>
      <c r="F40" s="407"/>
      <c r="G40" s="408"/>
      <c r="H40" s="409"/>
      <c r="I40" s="409"/>
      <c r="J40" s="410"/>
      <c r="K40" s="409"/>
      <c r="L40" s="410"/>
      <c r="M40" s="411"/>
      <c r="N40" s="337"/>
    </row>
    <row r="41" spans="1:14" ht="15.6" customHeight="1" x14ac:dyDescent="0.25">
      <c r="A41" s="329" t="s">
        <v>260</v>
      </c>
      <c r="B41" s="422"/>
      <c r="C41" s="422"/>
      <c r="D41" s="359"/>
      <c r="E41" s="403"/>
      <c r="F41" s="403"/>
      <c r="G41" s="360"/>
      <c r="H41" s="404"/>
      <c r="I41" s="404"/>
      <c r="J41" s="361"/>
      <c r="K41" s="404"/>
      <c r="L41" s="361"/>
      <c r="M41" s="405"/>
      <c r="N41" s="337"/>
    </row>
    <row r="42" spans="1:14" s="381" customFormat="1" ht="15.6" customHeight="1" x14ac:dyDescent="0.25">
      <c r="A42" s="324" t="s">
        <v>281</v>
      </c>
      <c r="B42" s="324"/>
      <c r="C42" s="518"/>
      <c r="D42" s="326"/>
      <c r="E42" s="324"/>
      <c r="F42" s="518"/>
      <c r="G42" s="374"/>
      <c r="H42" s="324"/>
      <c r="I42" s="518"/>
      <c r="J42" s="373"/>
      <c r="K42" s="518"/>
      <c r="L42" s="373"/>
      <c r="M42" s="413"/>
      <c r="N42" s="380"/>
    </row>
    <row r="43" spans="1:14" ht="15.6" customHeight="1" x14ac:dyDescent="0.25">
      <c r="A43" s="368" t="s">
        <v>262</v>
      </c>
      <c r="B43" s="406"/>
      <c r="C43" s="406"/>
      <c r="D43" s="331"/>
      <c r="E43" s="407"/>
      <c r="F43" s="407"/>
      <c r="G43" s="408"/>
      <c r="H43" s="409"/>
      <c r="I43" s="409"/>
      <c r="J43" s="410"/>
      <c r="K43" s="409"/>
      <c r="L43" s="410"/>
      <c r="M43" s="411"/>
      <c r="N43" s="337"/>
    </row>
    <row r="44" spans="1:14" ht="15.6" customHeight="1" x14ac:dyDescent="0.25">
      <c r="A44" s="368" t="s">
        <v>263</v>
      </c>
      <c r="B44" s="406"/>
      <c r="C44" s="406"/>
      <c r="D44" s="331"/>
      <c r="E44" s="407"/>
      <c r="F44" s="407"/>
      <c r="G44" s="408"/>
      <c r="H44" s="409"/>
      <c r="I44" s="409"/>
      <c r="J44" s="410"/>
      <c r="K44" s="409"/>
      <c r="L44" s="410"/>
      <c r="M44" s="411"/>
      <c r="N44" s="337"/>
    </row>
    <row r="45" spans="1:14" ht="15.6" customHeight="1" x14ac:dyDescent="0.25">
      <c r="A45" s="368" t="s">
        <v>264</v>
      </c>
      <c r="B45" s="406"/>
      <c r="C45" s="406"/>
      <c r="D45" s="331"/>
      <c r="E45" s="407"/>
      <c r="F45" s="407"/>
      <c r="G45" s="408"/>
      <c r="H45" s="409"/>
      <c r="I45" s="409"/>
      <c r="J45" s="410"/>
      <c r="K45" s="409"/>
      <c r="L45" s="410"/>
      <c r="M45" s="411"/>
      <c r="N45" s="337"/>
    </row>
    <row r="46" spans="1:14" s="381" customFormat="1" ht="15.6" customHeight="1" x14ac:dyDescent="0.25">
      <c r="A46" s="324" t="s">
        <v>282</v>
      </c>
      <c r="B46" s="324"/>
      <c r="C46" s="518"/>
      <c r="D46" s="326"/>
      <c r="E46" s="324"/>
      <c r="F46" s="518"/>
      <c r="G46" s="374"/>
      <c r="H46" s="324"/>
      <c r="I46" s="518"/>
      <c r="J46" s="373"/>
      <c r="K46" s="518"/>
      <c r="L46" s="373"/>
      <c r="M46" s="413"/>
      <c r="N46" s="380"/>
    </row>
    <row r="47" spans="1:14" s="381" customFormat="1" ht="14.4" customHeight="1" x14ac:dyDescent="0.25">
      <c r="A47" s="375" t="s">
        <v>283</v>
      </c>
      <c r="B47" s="375"/>
      <c r="C47" s="518"/>
      <c r="D47" s="379"/>
      <c r="E47" s="375"/>
      <c r="F47" s="518"/>
      <c r="G47" s="423"/>
      <c r="H47" s="375"/>
      <c r="I47" s="518"/>
      <c r="J47" s="375"/>
      <c r="K47" s="518"/>
      <c r="L47" s="379"/>
      <c r="M47" s="424"/>
      <c r="N47" s="380"/>
    </row>
    <row r="48" spans="1:14" ht="14.4" customHeight="1" x14ac:dyDescent="0.25"/>
  </sheetData>
  <mergeCells count="7">
    <mergeCell ref="N1:N2"/>
    <mergeCell ref="B1:D1"/>
    <mergeCell ref="E1:G1"/>
    <mergeCell ref="H1:J1"/>
    <mergeCell ref="K1:K2"/>
    <mergeCell ref="L1:L2"/>
    <mergeCell ref="M1:M2"/>
  </mergeCells>
  <phoneticPr fontId="6" type="noConversion"/>
  <pageMargins left="0.16" right="0.16" top="0.27" bottom="0.2" header="0.22" footer="0.16"/>
  <pageSetup paperSize="9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zoomScale="60" zoomScaleNormal="60" workbookViewId="0">
      <pane xSplit="1" ySplit="2" topLeftCell="B8" activePane="bottomRight" state="frozen"/>
      <selection activeCell="I53" sqref="I53"/>
      <selection pane="topRight" activeCell="I53" sqref="I53"/>
      <selection pane="bottomLeft" activeCell="I53" sqref="I53"/>
      <selection pane="bottomRight" activeCell="B3" sqref="B3:O47"/>
    </sheetView>
  </sheetViews>
  <sheetFormatPr defaultColWidth="8.88671875" defaultRowHeight="19.95" customHeight="1" outlineLevelRow="1" x14ac:dyDescent="0.25"/>
  <cols>
    <col min="1" max="1" width="25.21875" style="425" bestFit="1" customWidth="1"/>
    <col min="2" max="2" width="11.77734375" style="477" customWidth="1"/>
    <col min="3" max="3" width="12.33203125" style="477" bestFit="1" customWidth="1"/>
    <col min="4" max="4" width="13.21875" style="478" bestFit="1" customWidth="1"/>
    <col min="5" max="6" width="13.21875" style="477" bestFit="1" customWidth="1"/>
    <col min="7" max="7" width="11.77734375" style="478" customWidth="1"/>
    <col min="8" max="9" width="10.77734375" style="477" customWidth="1"/>
    <col min="10" max="10" width="11.77734375" style="478" customWidth="1"/>
    <col min="11" max="11" width="11.6640625" style="477" customWidth="1"/>
    <col min="12" max="12" width="18.77734375" style="478" bestFit="1" customWidth="1"/>
    <col min="13" max="13" width="34.33203125" style="479" customWidth="1"/>
    <col min="14" max="14" width="59.6640625" style="433" customWidth="1"/>
    <col min="15" max="16384" width="8.88671875" style="433"/>
  </cols>
  <sheetData>
    <row r="1" spans="1:14" s="425" customFormat="1" ht="19.95" customHeight="1" x14ac:dyDescent="0.25">
      <c r="A1" s="535" t="s">
        <v>380</v>
      </c>
      <c r="B1" s="630" t="s">
        <v>379</v>
      </c>
      <c r="C1" s="631"/>
      <c r="D1" s="632"/>
      <c r="E1" s="633" t="s">
        <v>378</v>
      </c>
      <c r="F1" s="633"/>
      <c r="G1" s="633"/>
      <c r="H1" s="630" t="s">
        <v>377</v>
      </c>
      <c r="I1" s="631"/>
      <c r="J1" s="631"/>
      <c r="K1" s="634" t="s">
        <v>376</v>
      </c>
      <c r="L1" s="636" t="s">
        <v>375</v>
      </c>
      <c r="M1" s="628" t="s">
        <v>374</v>
      </c>
      <c r="N1" s="586" t="s">
        <v>373</v>
      </c>
    </row>
    <row r="2" spans="1:14" s="531" customFormat="1" ht="19.95" customHeight="1" x14ac:dyDescent="0.25">
      <c r="A2" s="534" t="s">
        <v>372</v>
      </c>
      <c r="B2" s="533" t="s">
        <v>215</v>
      </c>
      <c r="C2" s="533" t="s">
        <v>272</v>
      </c>
      <c r="D2" s="532" t="s">
        <v>368</v>
      </c>
      <c r="E2" s="533" t="s">
        <v>370</v>
      </c>
      <c r="F2" s="533" t="s">
        <v>371</v>
      </c>
      <c r="G2" s="532" t="s">
        <v>368</v>
      </c>
      <c r="H2" s="533" t="s">
        <v>370</v>
      </c>
      <c r="I2" s="533" t="s">
        <v>369</v>
      </c>
      <c r="J2" s="532" t="s">
        <v>368</v>
      </c>
      <c r="K2" s="635"/>
      <c r="L2" s="637"/>
      <c r="M2" s="629"/>
      <c r="N2" s="587"/>
    </row>
    <row r="3" spans="1:14" ht="19.95" customHeight="1" outlineLevel="1" x14ac:dyDescent="0.25">
      <c r="A3" s="426" t="s">
        <v>367</v>
      </c>
      <c r="B3" s="427"/>
      <c r="C3" s="428"/>
      <c r="D3" s="429"/>
      <c r="E3" s="427"/>
      <c r="F3" s="428"/>
      <c r="G3" s="429"/>
      <c r="H3" s="428"/>
      <c r="I3" s="428"/>
      <c r="J3" s="429"/>
      <c r="K3" s="428"/>
      <c r="L3" s="430"/>
      <c r="M3" s="431"/>
      <c r="N3" s="432"/>
    </row>
    <row r="4" spans="1:14" s="437" customFormat="1" ht="19.5" customHeight="1" outlineLevel="1" x14ac:dyDescent="0.25">
      <c r="A4" s="426" t="s">
        <v>366</v>
      </c>
      <c r="B4" s="434"/>
      <c r="C4" s="428"/>
      <c r="D4" s="429"/>
      <c r="E4" s="434"/>
      <c r="F4" s="428"/>
      <c r="G4" s="429"/>
      <c r="H4" s="428"/>
      <c r="I4" s="428"/>
      <c r="J4" s="429"/>
      <c r="K4" s="428"/>
      <c r="L4" s="430"/>
      <c r="M4" s="435"/>
      <c r="N4" s="436"/>
    </row>
    <row r="5" spans="1:14" ht="19.95" customHeight="1" outlineLevel="1" x14ac:dyDescent="0.25">
      <c r="A5" s="426" t="s">
        <v>365</v>
      </c>
      <c r="B5" s="438"/>
      <c r="C5" s="428"/>
      <c r="D5" s="429"/>
      <c r="E5" s="438"/>
      <c r="F5" s="428"/>
      <c r="G5" s="429"/>
      <c r="H5" s="428"/>
      <c r="I5" s="428"/>
      <c r="J5" s="429"/>
      <c r="K5" s="428"/>
      <c r="L5" s="430"/>
      <c r="M5" s="439"/>
      <c r="N5" s="432"/>
    </row>
    <row r="6" spans="1:14" ht="19.95" customHeight="1" outlineLevel="1" x14ac:dyDescent="0.25">
      <c r="A6" s="426" t="s">
        <v>364</v>
      </c>
      <c r="B6" s="434"/>
      <c r="C6" s="428"/>
      <c r="D6" s="429"/>
      <c r="E6" s="434"/>
      <c r="F6" s="428"/>
      <c r="G6" s="429"/>
      <c r="H6" s="428"/>
      <c r="I6" s="428"/>
      <c r="J6" s="429"/>
      <c r="K6" s="428"/>
      <c r="L6" s="430"/>
      <c r="M6" s="435"/>
      <c r="N6" s="432"/>
    </row>
    <row r="7" spans="1:14" ht="19.95" customHeight="1" outlineLevel="1" x14ac:dyDescent="0.25">
      <c r="A7" s="426" t="s">
        <v>363</v>
      </c>
      <c r="B7" s="438"/>
      <c r="C7" s="428"/>
      <c r="D7" s="429"/>
      <c r="E7" s="438"/>
      <c r="F7" s="428"/>
      <c r="G7" s="429"/>
      <c r="H7" s="428"/>
      <c r="I7" s="428"/>
      <c r="J7" s="429"/>
      <c r="K7" s="428"/>
      <c r="L7" s="430"/>
      <c r="M7" s="435"/>
      <c r="N7" s="432"/>
    </row>
    <row r="8" spans="1:14" s="448" customFormat="1" ht="19.95" customHeight="1" x14ac:dyDescent="0.25">
      <c r="A8" s="440" t="s">
        <v>362</v>
      </c>
      <c r="B8" s="441"/>
      <c r="C8" s="441"/>
      <c r="D8" s="442"/>
      <c r="E8" s="441"/>
      <c r="F8" s="441"/>
      <c r="G8" s="442"/>
      <c r="H8" s="443"/>
      <c r="I8" s="443"/>
      <c r="J8" s="442"/>
      <c r="K8" s="444"/>
      <c r="L8" s="445"/>
      <c r="M8" s="446"/>
      <c r="N8" s="447"/>
    </row>
    <row r="9" spans="1:14" ht="19.95" customHeight="1" outlineLevel="1" x14ac:dyDescent="0.25">
      <c r="A9" s="426" t="s">
        <v>361</v>
      </c>
      <c r="B9" s="438"/>
      <c r="C9" s="428"/>
      <c r="D9" s="429"/>
      <c r="E9" s="438"/>
      <c r="F9" s="428"/>
      <c r="G9" s="429"/>
      <c r="H9" s="428"/>
      <c r="I9" s="428"/>
      <c r="J9" s="429"/>
      <c r="K9" s="428"/>
      <c r="L9" s="430"/>
      <c r="M9" s="449"/>
      <c r="N9" s="439"/>
    </row>
    <row r="10" spans="1:14" ht="19.95" customHeight="1" outlineLevel="1" x14ac:dyDescent="0.25">
      <c r="A10" s="426" t="s">
        <v>360</v>
      </c>
      <c r="B10" s="438"/>
      <c r="C10" s="428"/>
      <c r="D10" s="429"/>
      <c r="E10" s="438"/>
      <c r="F10" s="428"/>
      <c r="G10" s="429"/>
      <c r="H10" s="428"/>
      <c r="I10" s="428"/>
      <c r="J10" s="429"/>
      <c r="K10" s="428"/>
      <c r="L10" s="430"/>
      <c r="M10" s="450"/>
      <c r="N10" s="432"/>
    </row>
    <row r="11" spans="1:14" s="448" customFormat="1" ht="19.95" customHeight="1" x14ac:dyDescent="0.25">
      <c r="A11" s="440" t="s">
        <v>359</v>
      </c>
      <c r="B11" s="441"/>
      <c r="C11" s="441"/>
      <c r="D11" s="442"/>
      <c r="E11" s="441"/>
      <c r="F11" s="441"/>
      <c r="G11" s="442"/>
      <c r="H11" s="443"/>
      <c r="I11" s="443"/>
      <c r="J11" s="442"/>
      <c r="K11" s="444"/>
      <c r="L11" s="445"/>
      <c r="M11" s="446"/>
      <c r="N11" s="447"/>
    </row>
    <row r="12" spans="1:14" ht="19.95" customHeight="1" outlineLevel="1" x14ac:dyDescent="0.25">
      <c r="A12" s="426" t="s">
        <v>358</v>
      </c>
      <c r="B12" s="438"/>
      <c r="C12" s="428"/>
      <c r="D12" s="429"/>
      <c r="E12" s="438"/>
      <c r="F12" s="428"/>
      <c r="G12" s="429"/>
      <c r="H12" s="428"/>
      <c r="I12" s="428"/>
      <c r="J12" s="429"/>
      <c r="K12" s="428"/>
      <c r="L12" s="430"/>
      <c r="M12" s="435"/>
      <c r="N12" s="439"/>
    </row>
    <row r="13" spans="1:14" ht="19.95" customHeight="1" outlineLevel="1" x14ac:dyDescent="0.25">
      <c r="A13" s="426" t="s">
        <v>357</v>
      </c>
      <c r="B13" s="438"/>
      <c r="C13" s="428"/>
      <c r="D13" s="429"/>
      <c r="E13" s="438"/>
      <c r="F13" s="428"/>
      <c r="G13" s="429"/>
      <c r="H13" s="428"/>
      <c r="I13" s="428"/>
      <c r="J13" s="429"/>
      <c r="K13" s="428"/>
      <c r="L13" s="430"/>
      <c r="M13" s="439"/>
      <c r="N13" s="432"/>
    </row>
    <row r="14" spans="1:14" s="448" customFormat="1" ht="19.95" customHeight="1" x14ac:dyDescent="0.25">
      <c r="A14" s="440" t="s">
        <v>356</v>
      </c>
      <c r="B14" s="441"/>
      <c r="C14" s="441"/>
      <c r="D14" s="442"/>
      <c r="E14" s="441"/>
      <c r="F14" s="441"/>
      <c r="G14" s="442"/>
      <c r="H14" s="443"/>
      <c r="I14" s="443"/>
      <c r="J14" s="442"/>
      <c r="K14" s="444"/>
      <c r="L14" s="445"/>
      <c r="M14" s="446"/>
      <c r="N14" s="447"/>
    </row>
    <row r="15" spans="1:14" ht="19.95" customHeight="1" outlineLevel="1" x14ac:dyDescent="0.25">
      <c r="A15" s="426" t="s">
        <v>355</v>
      </c>
      <c r="B15" s="438"/>
      <c r="C15" s="428"/>
      <c r="D15" s="429"/>
      <c r="E15" s="438"/>
      <c r="F15" s="428"/>
      <c r="G15" s="429"/>
      <c r="H15" s="428"/>
      <c r="I15" s="428"/>
      <c r="J15" s="429"/>
      <c r="K15" s="428"/>
      <c r="L15" s="430"/>
      <c r="M15" s="450"/>
      <c r="N15" s="432"/>
    </row>
    <row r="16" spans="1:14" ht="19.95" customHeight="1" outlineLevel="1" x14ac:dyDescent="0.25">
      <c r="A16" s="426" t="s">
        <v>354</v>
      </c>
      <c r="B16" s="438"/>
      <c r="C16" s="428"/>
      <c r="D16" s="429"/>
      <c r="E16" s="438"/>
      <c r="F16" s="428"/>
      <c r="G16" s="429"/>
      <c r="H16" s="428"/>
      <c r="I16" s="428"/>
      <c r="J16" s="429"/>
      <c r="K16" s="428"/>
      <c r="L16" s="430"/>
      <c r="M16" s="450"/>
      <c r="N16" s="432"/>
    </row>
    <row r="17" spans="1:14" ht="19.95" customHeight="1" outlineLevel="1" x14ac:dyDescent="0.25">
      <c r="A17" s="426" t="s">
        <v>353</v>
      </c>
      <c r="B17" s="438"/>
      <c r="C17" s="428"/>
      <c r="D17" s="429"/>
      <c r="E17" s="438"/>
      <c r="F17" s="428"/>
      <c r="G17" s="429"/>
      <c r="H17" s="428"/>
      <c r="I17" s="428"/>
      <c r="J17" s="429"/>
      <c r="K17" s="428"/>
      <c r="L17" s="430"/>
      <c r="M17" s="450"/>
      <c r="N17" s="432"/>
    </row>
    <row r="18" spans="1:14" s="448" customFormat="1" ht="19.95" customHeight="1" x14ac:dyDescent="0.25">
      <c r="A18" s="440" t="s">
        <v>352</v>
      </c>
      <c r="B18" s="441"/>
      <c r="C18" s="441"/>
      <c r="D18" s="442"/>
      <c r="E18" s="441"/>
      <c r="F18" s="441"/>
      <c r="G18" s="442"/>
      <c r="H18" s="443"/>
      <c r="I18" s="443"/>
      <c r="J18" s="442"/>
      <c r="K18" s="444"/>
      <c r="L18" s="445"/>
      <c r="M18" s="446"/>
      <c r="N18" s="447"/>
    </row>
    <row r="19" spans="1:14" s="437" customFormat="1" ht="19.95" customHeight="1" x14ac:dyDescent="0.25">
      <c r="A19" s="426" t="s">
        <v>351</v>
      </c>
      <c r="B19" s="434"/>
      <c r="C19" s="428"/>
      <c r="D19" s="429"/>
      <c r="E19" s="434"/>
      <c r="F19" s="428"/>
      <c r="G19" s="429"/>
      <c r="H19" s="428"/>
      <c r="I19" s="428"/>
      <c r="J19" s="429"/>
      <c r="K19" s="428"/>
      <c r="L19" s="430"/>
      <c r="M19" s="450"/>
      <c r="N19" s="451"/>
    </row>
    <row r="20" spans="1:14" s="425" customFormat="1" ht="19.95" customHeight="1" x14ac:dyDescent="0.25">
      <c r="A20" s="440" t="s">
        <v>350</v>
      </c>
      <c r="B20" s="452"/>
      <c r="C20" s="452"/>
      <c r="D20" s="442"/>
      <c r="E20" s="452"/>
      <c r="F20" s="452"/>
      <c r="G20" s="442"/>
      <c r="H20" s="453"/>
      <c r="I20" s="453"/>
      <c r="J20" s="442"/>
      <c r="K20" s="454"/>
      <c r="L20" s="530"/>
      <c r="M20" s="455"/>
      <c r="N20" s="456"/>
    </row>
    <row r="21" spans="1:14" s="459" customFormat="1" ht="19.95" customHeight="1" outlineLevel="1" x14ac:dyDescent="0.25">
      <c r="A21" s="426" t="s">
        <v>349</v>
      </c>
      <c r="B21" s="438"/>
      <c r="C21" s="428"/>
      <c r="D21" s="429"/>
      <c r="E21" s="457"/>
      <c r="F21" s="428"/>
      <c r="G21" s="429"/>
      <c r="H21" s="428"/>
      <c r="I21" s="428"/>
      <c r="J21" s="429"/>
      <c r="K21" s="428"/>
      <c r="L21" s="430"/>
      <c r="M21" s="450"/>
      <c r="N21" s="458"/>
    </row>
    <row r="22" spans="1:14" ht="19.95" customHeight="1" outlineLevel="1" x14ac:dyDescent="0.25">
      <c r="A22" s="426" t="s">
        <v>348</v>
      </c>
      <c r="B22" s="438"/>
      <c r="C22" s="428"/>
      <c r="D22" s="429"/>
      <c r="E22" s="438"/>
      <c r="F22" s="428"/>
      <c r="G22" s="429"/>
      <c r="H22" s="428"/>
      <c r="I22" s="428"/>
      <c r="J22" s="429"/>
      <c r="K22" s="428"/>
      <c r="L22" s="430"/>
      <c r="M22" s="460"/>
      <c r="N22" s="461"/>
    </row>
    <row r="23" spans="1:14" s="448" customFormat="1" ht="19.95" customHeight="1" x14ac:dyDescent="0.25">
      <c r="A23" s="440" t="s">
        <v>347</v>
      </c>
      <c r="B23" s="441"/>
      <c r="C23" s="441"/>
      <c r="D23" s="442"/>
      <c r="E23" s="441"/>
      <c r="F23" s="441"/>
      <c r="G23" s="442"/>
      <c r="H23" s="443"/>
      <c r="I23" s="443"/>
      <c r="J23" s="442"/>
      <c r="K23" s="444"/>
      <c r="L23" s="445"/>
      <c r="M23" s="446"/>
      <c r="N23" s="447"/>
    </row>
    <row r="24" spans="1:14" s="437" customFormat="1" ht="19.95" hidden="1" customHeight="1" x14ac:dyDescent="0.25">
      <c r="A24" s="426" t="s">
        <v>346</v>
      </c>
      <c r="B24" s="462"/>
      <c r="C24" s="462"/>
      <c r="D24" s="463"/>
      <c r="E24" s="464"/>
      <c r="F24" s="464"/>
      <c r="G24" s="463"/>
      <c r="H24" s="465"/>
      <c r="I24" s="465"/>
      <c r="J24" s="463"/>
      <c r="K24" s="465"/>
      <c r="L24" s="430"/>
      <c r="M24" s="466"/>
      <c r="N24" s="451"/>
    </row>
    <row r="25" spans="1:14" s="437" customFormat="1" ht="19.95" hidden="1" customHeight="1" x14ac:dyDescent="0.25">
      <c r="A25" s="426" t="s">
        <v>345</v>
      </c>
      <c r="B25" s="462"/>
      <c r="C25" s="462"/>
      <c r="D25" s="463"/>
      <c r="E25" s="464"/>
      <c r="F25" s="464"/>
      <c r="G25" s="463"/>
      <c r="H25" s="465"/>
      <c r="I25" s="465"/>
      <c r="J25" s="463"/>
      <c r="K25" s="465"/>
      <c r="L25" s="430"/>
      <c r="M25" s="466"/>
      <c r="N25" s="451"/>
    </row>
    <row r="26" spans="1:14" s="437" customFormat="1" ht="19.95" hidden="1" customHeight="1" x14ac:dyDescent="0.25">
      <c r="A26" s="426" t="s">
        <v>344</v>
      </c>
      <c r="B26" s="462"/>
      <c r="C26" s="462"/>
      <c r="D26" s="463"/>
      <c r="E26" s="464"/>
      <c r="F26" s="464"/>
      <c r="G26" s="463"/>
      <c r="H26" s="465"/>
      <c r="I26" s="465"/>
      <c r="J26" s="463"/>
      <c r="K26" s="465"/>
      <c r="L26" s="430"/>
      <c r="M26" s="466"/>
      <c r="N26" s="451"/>
    </row>
    <row r="27" spans="1:14" s="437" customFormat="1" ht="19.95" hidden="1" customHeight="1" x14ac:dyDescent="0.25">
      <c r="A27" s="426" t="s">
        <v>343</v>
      </c>
      <c r="B27" s="462"/>
      <c r="C27" s="462"/>
      <c r="D27" s="463"/>
      <c r="E27" s="464"/>
      <c r="F27" s="464"/>
      <c r="G27" s="463"/>
      <c r="H27" s="465"/>
      <c r="I27" s="465"/>
      <c r="J27" s="463"/>
      <c r="K27" s="465"/>
      <c r="L27" s="430"/>
      <c r="M27" s="466"/>
      <c r="N27" s="451"/>
    </row>
    <row r="28" spans="1:14" s="437" customFormat="1" ht="19.95" hidden="1" customHeight="1" x14ac:dyDescent="0.25">
      <c r="A28" s="426" t="s">
        <v>342</v>
      </c>
      <c r="B28" s="462"/>
      <c r="C28" s="462"/>
      <c r="D28" s="463"/>
      <c r="E28" s="464"/>
      <c r="F28" s="464"/>
      <c r="G28" s="463"/>
      <c r="H28" s="465"/>
      <c r="I28" s="465"/>
      <c r="J28" s="463"/>
      <c r="K28" s="465"/>
      <c r="L28" s="430"/>
      <c r="M28" s="466"/>
      <c r="N28" s="451"/>
    </row>
    <row r="29" spans="1:14" s="437" customFormat="1" ht="19.95" customHeight="1" x14ac:dyDescent="0.25">
      <c r="A29" s="426" t="s">
        <v>341</v>
      </c>
      <c r="B29" s="462"/>
      <c r="C29" s="428"/>
      <c r="D29" s="429"/>
      <c r="E29" s="467"/>
      <c r="F29" s="428"/>
      <c r="G29" s="429"/>
      <c r="H29" s="428"/>
      <c r="I29" s="428"/>
      <c r="J29" s="429"/>
      <c r="K29" s="428"/>
      <c r="L29" s="430"/>
      <c r="M29" s="468"/>
      <c r="N29" s="436"/>
    </row>
    <row r="30" spans="1:14" s="437" customFormat="1" ht="19.95" hidden="1" customHeight="1" x14ac:dyDescent="0.25">
      <c r="A30" s="426" t="s">
        <v>340</v>
      </c>
      <c r="B30" s="462"/>
      <c r="C30" s="462"/>
      <c r="D30" s="463"/>
      <c r="E30" s="464"/>
      <c r="F30" s="464"/>
      <c r="G30" s="463"/>
      <c r="H30" s="465"/>
      <c r="I30" s="465"/>
      <c r="J30" s="463"/>
      <c r="K30" s="465"/>
      <c r="L30" s="430"/>
      <c r="M30" s="466"/>
      <c r="N30" s="451"/>
    </row>
    <row r="31" spans="1:14" s="437" customFormat="1" ht="19.95" hidden="1" customHeight="1" x14ac:dyDescent="0.25">
      <c r="A31" s="426" t="s">
        <v>339</v>
      </c>
      <c r="B31" s="462"/>
      <c r="C31" s="462"/>
      <c r="D31" s="463"/>
      <c r="E31" s="464"/>
      <c r="F31" s="464"/>
      <c r="G31" s="463"/>
      <c r="H31" s="465"/>
      <c r="I31" s="465"/>
      <c r="J31" s="463"/>
      <c r="K31" s="465"/>
      <c r="L31" s="430"/>
      <c r="M31" s="466"/>
      <c r="N31" s="451"/>
    </row>
    <row r="32" spans="1:14" s="437" customFormat="1" ht="19.95" hidden="1" customHeight="1" x14ac:dyDescent="0.25">
      <c r="A32" s="426" t="s">
        <v>338</v>
      </c>
      <c r="B32" s="462"/>
      <c r="C32" s="462"/>
      <c r="D32" s="463"/>
      <c r="E32" s="464"/>
      <c r="F32" s="464"/>
      <c r="G32" s="463"/>
      <c r="H32" s="465"/>
      <c r="I32" s="465"/>
      <c r="J32" s="463"/>
      <c r="K32" s="465"/>
      <c r="L32" s="430"/>
      <c r="M32" s="466"/>
      <c r="N32" s="451"/>
    </row>
    <row r="33" spans="1:14" s="437" customFormat="1" ht="19.95" hidden="1" customHeight="1" x14ac:dyDescent="0.25">
      <c r="A33" s="426" t="s">
        <v>337</v>
      </c>
      <c r="B33" s="462"/>
      <c r="C33" s="462"/>
      <c r="D33" s="463"/>
      <c r="E33" s="464"/>
      <c r="F33" s="464"/>
      <c r="G33" s="463"/>
      <c r="H33" s="465"/>
      <c r="I33" s="465"/>
      <c r="J33" s="463"/>
      <c r="K33" s="465"/>
      <c r="L33" s="430"/>
      <c r="M33" s="466"/>
      <c r="N33" s="451"/>
    </row>
    <row r="34" spans="1:14" s="437" customFormat="1" ht="19.95" hidden="1" customHeight="1" x14ac:dyDescent="0.25">
      <c r="A34" s="426" t="s">
        <v>336</v>
      </c>
      <c r="B34" s="462"/>
      <c r="C34" s="462"/>
      <c r="D34" s="463"/>
      <c r="E34" s="464"/>
      <c r="F34" s="464"/>
      <c r="G34" s="463"/>
      <c r="H34" s="465"/>
      <c r="I34" s="465"/>
      <c r="J34" s="463"/>
      <c r="K34" s="465"/>
      <c r="L34" s="430"/>
      <c r="M34" s="466"/>
      <c r="N34" s="451"/>
    </row>
    <row r="35" spans="1:14" s="437" customFormat="1" ht="19.95" hidden="1" customHeight="1" x14ac:dyDescent="0.25">
      <c r="A35" s="426" t="s">
        <v>335</v>
      </c>
      <c r="B35" s="462"/>
      <c r="C35" s="462"/>
      <c r="D35" s="463"/>
      <c r="E35" s="464"/>
      <c r="F35" s="464"/>
      <c r="G35" s="463"/>
      <c r="H35" s="465"/>
      <c r="I35" s="465"/>
      <c r="J35" s="463"/>
      <c r="K35" s="465"/>
      <c r="L35" s="430"/>
      <c r="M35" s="466"/>
      <c r="N35" s="451"/>
    </row>
    <row r="36" spans="1:14" s="448" customFormat="1" ht="19.95" customHeight="1" x14ac:dyDescent="0.25">
      <c r="A36" s="440" t="s">
        <v>334</v>
      </c>
      <c r="B36" s="441"/>
      <c r="C36" s="441"/>
      <c r="D36" s="442"/>
      <c r="E36" s="441"/>
      <c r="F36" s="441"/>
      <c r="G36" s="442"/>
      <c r="H36" s="441"/>
      <c r="I36" s="441"/>
      <c r="J36" s="442"/>
      <c r="K36" s="441"/>
      <c r="L36" s="445"/>
      <c r="M36" s="446"/>
      <c r="N36" s="446"/>
    </row>
    <row r="37" spans="1:14" ht="19.95" customHeight="1" x14ac:dyDescent="0.25">
      <c r="A37" s="426" t="s">
        <v>333</v>
      </c>
      <c r="B37" s="462"/>
      <c r="C37" s="428"/>
      <c r="D37" s="429"/>
      <c r="E37" s="464"/>
      <c r="F37" s="428"/>
      <c r="G37" s="429"/>
      <c r="H37" s="428"/>
      <c r="I37" s="428"/>
      <c r="J37" s="429"/>
      <c r="K37" s="428"/>
      <c r="L37" s="430"/>
      <c r="M37" s="466"/>
      <c r="N37" s="432"/>
    </row>
    <row r="38" spans="1:14" s="474" customFormat="1" ht="19.95" customHeight="1" x14ac:dyDescent="0.25">
      <c r="A38" s="469" t="s">
        <v>332</v>
      </c>
      <c r="B38" s="470"/>
      <c r="C38" s="470"/>
      <c r="D38" s="471"/>
      <c r="E38" s="470"/>
      <c r="F38" s="470"/>
      <c r="G38" s="471"/>
      <c r="H38" s="470"/>
      <c r="I38" s="470"/>
      <c r="J38" s="471"/>
      <c r="K38" s="470"/>
      <c r="L38" s="472"/>
      <c r="M38" s="473"/>
    </row>
    <row r="39" spans="1:14" ht="19.95" customHeight="1" x14ac:dyDescent="0.25">
      <c r="A39" s="475" t="s">
        <v>331</v>
      </c>
      <c r="B39" s="438"/>
      <c r="C39" s="428"/>
      <c r="D39" s="429"/>
      <c r="E39" s="438"/>
      <c r="F39" s="428"/>
      <c r="G39" s="429"/>
      <c r="H39" s="428"/>
      <c r="I39" s="428"/>
      <c r="J39" s="429"/>
      <c r="K39" s="428"/>
      <c r="L39" s="430"/>
      <c r="M39" s="450"/>
      <c r="N39" s="432"/>
    </row>
    <row r="40" spans="1:14" ht="19.95" hidden="1" customHeight="1" x14ac:dyDescent="0.25">
      <c r="A40" s="475" t="s">
        <v>279</v>
      </c>
      <c r="B40" s="438"/>
      <c r="C40" s="428"/>
      <c r="D40" s="429"/>
      <c r="E40" s="438"/>
      <c r="F40" s="428"/>
      <c r="G40" s="429"/>
      <c r="H40" s="428"/>
      <c r="I40" s="428"/>
      <c r="J40" s="429"/>
      <c r="K40" s="428"/>
      <c r="L40" s="430"/>
      <c r="M40" s="450"/>
      <c r="N40" s="432"/>
    </row>
    <row r="41" spans="1:14" ht="19.95" hidden="1" customHeight="1" x14ac:dyDescent="0.25">
      <c r="A41" s="475" t="s">
        <v>330</v>
      </c>
      <c r="B41" s="438"/>
      <c r="C41" s="428"/>
      <c r="D41" s="429"/>
      <c r="E41" s="438"/>
      <c r="F41" s="428"/>
      <c r="G41" s="429"/>
      <c r="H41" s="428"/>
      <c r="I41" s="428"/>
      <c r="J41" s="429"/>
      <c r="K41" s="428"/>
      <c r="L41" s="430"/>
      <c r="M41" s="450"/>
      <c r="N41" s="432"/>
    </row>
    <row r="42" spans="1:14" ht="19.95" hidden="1" customHeight="1" x14ac:dyDescent="0.25">
      <c r="A42" s="475" t="s">
        <v>329</v>
      </c>
      <c r="B42" s="438"/>
      <c r="C42" s="428"/>
      <c r="D42" s="429"/>
      <c r="E42" s="438"/>
      <c r="F42" s="428"/>
      <c r="G42" s="429"/>
      <c r="H42" s="428"/>
      <c r="I42" s="428"/>
      <c r="J42" s="429"/>
      <c r="K42" s="428"/>
      <c r="L42" s="430"/>
      <c r="M42" s="450"/>
      <c r="N42" s="432"/>
    </row>
    <row r="43" spans="1:14" ht="19.95" hidden="1" customHeight="1" x14ac:dyDescent="0.25">
      <c r="A43" s="475" t="s">
        <v>280</v>
      </c>
      <c r="B43" s="438"/>
      <c r="C43" s="428"/>
      <c r="D43" s="429"/>
      <c r="E43" s="438"/>
      <c r="F43" s="428"/>
      <c r="G43" s="429"/>
      <c r="H43" s="428"/>
      <c r="I43" s="428"/>
      <c r="J43" s="429"/>
      <c r="K43" s="428"/>
      <c r="L43" s="430"/>
      <c r="M43" s="450"/>
      <c r="N43" s="432"/>
    </row>
    <row r="44" spans="1:14" ht="19.95" hidden="1" customHeight="1" x14ac:dyDescent="0.25">
      <c r="A44" s="475" t="s">
        <v>328</v>
      </c>
      <c r="B44" s="438"/>
      <c r="C44" s="428"/>
      <c r="D44" s="429"/>
      <c r="E44" s="438"/>
      <c r="F44" s="428"/>
      <c r="G44" s="429"/>
      <c r="H44" s="428"/>
      <c r="I44" s="428"/>
      <c r="J44" s="429"/>
      <c r="K44" s="428"/>
      <c r="L44" s="430"/>
      <c r="M44" s="450"/>
      <c r="N44" s="432"/>
    </row>
    <row r="45" spans="1:14" ht="19.95" customHeight="1" x14ac:dyDescent="0.25">
      <c r="A45" s="475" t="s">
        <v>327</v>
      </c>
      <c r="B45" s="438"/>
      <c r="C45" s="428"/>
      <c r="D45" s="429"/>
      <c r="E45" s="438"/>
      <c r="F45" s="428"/>
      <c r="G45" s="429"/>
      <c r="H45" s="428"/>
      <c r="I45" s="428"/>
      <c r="J45" s="429"/>
      <c r="K45" s="428"/>
      <c r="L45" s="430"/>
      <c r="M45" s="450"/>
      <c r="N45" s="432"/>
    </row>
    <row r="46" spans="1:14" ht="19.95" hidden="1" customHeight="1" x14ac:dyDescent="0.25">
      <c r="A46" s="426" t="s">
        <v>326</v>
      </c>
      <c r="B46" s="462"/>
      <c r="C46" s="462"/>
      <c r="D46" s="429"/>
      <c r="E46" s="464"/>
      <c r="F46" s="464"/>
      <c r="G46" s="429"/>
      <c r="H46" s="465"/>
      <c r="I46" s="465"/>
      <c r="J46" s="429"/>
      <c r="K46" s="465"/>
      <c r="L46" s="430"/>
      <c r="M46" s="466"/>
      <c r="N46" s="432"/>
    </row>
    <row r="47" spans="1:14" s="474" customFormat="1" ht="19.95" customHeight="1" x14ac:dyDescent="0.25">
      <c r="A47" s="469" t="s">
        <v>325</v>
      </c>
      <c r="B47" s="470"/>
      <c r="C47" s="470"/>
      <c r="D47" s="471"/>
      <c r="E47" s="470"/>
      <c r="F47" s="470"/>
      <c r="G47" s="471"/>
      <c r="H47" s="470"/>
      <c r="I47" s="470"/>
      <c r="J47" s="471"/>
      <c r="K47" s="470"/>
      <c r="L47" s="472"/>
      <c r="M47" s="476"/>
      <c r="N47" s="469"/>
    </row>
    <row r="49" spans="4:10" ht="19.95" customHeight="1" x14ac:dyDescent="0.25">
      <c r="D49" s="477"/>
      <c r="G49" s="477"/>
      <c r="J49" s="477"/>
    </row>
  </sheetData>
  <mergeCells count="7">
    <mergeCell ref="M1:M2"/>
    <mergeCell ref="N1:N2"/>
    <mergeCell ref="B1:D1"/>
    <mergeCell ref="E1:G1"/>
    <mergeCell ref="H1:J1"/>
    <mergeCell ref="K1:K2"/>
    <mergeCell ref="L1:L2"/>
  </mergeCells>
  <phoneticPr fontId="6" type="noConversion"/>
  <pageMargins left="0.16" right="0.16" top="0.27" bottom="0.2" header="0.22" footer="0.16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zoomScale="80" zoomScaleNormal="80" workbookViewId="0">
      <pane xSplit="1" ySplit="2" topLeftCell="B20" activePane="bottomRight" state="frozen"/>
      <selection activeCell="I53" sqref="I53"/>
      <selection pane="topRight" activeCell="I53" sqref="I53"/>
      <selection pane="bottomLeft" activeCell="I53" sqref="I53"/>
      <selection pane="bottomRight" activeCell="B3" sqref="B3:M49"/>
    </sheetView>
  </sheetViews>
  <sheetFormatPr defaultColWidth="8.88671875" defaultRowHeight="17.399999999999999" outlineLevelRow="1" x14ac:dyDescent="0.25"/>
  <cols>
    <col min="1" max="1" width="25.21875" style="425" bestFit="1" customWidth="1"/>
    <col min="2" max="3" width="11.77734375" style="477" customWidth="1"/>
    <col min="4" max="4" width="11.77734375" style="478" customWidth="1"/>
    <col min="5" max="5" width="13.21875" style="477" bestFit="1" customWidth="1"/>
    <col min="6" max="6" width="10.6640625" style="477" customWidth="1"/>
    <col min="7" max="7" width="11.77734375" style="478" customWidth="1"/>
    <col min="8" max="9" width="13.21875" style="477" bestFit="1" customWidth="1"/>
    <col min="10" max="10" width="11.77734375" style="478" customWidth="1"/>
    <col min="11" max="11" width="12.44140625" style="477" customWidth="1"/>
    <col min="12" max="12" width="12.44140625" style="478" customWidth="1"/>
    <col min="13" max="13" width="45" style="479" customWidth="1"/>
    <col min="14" max="14" width="37.6640625" style="433" customWidth="1"/>
    <col min="15" max="16384" width="8.88671875" style="433"/>
  </cols>
  <sheetData>
    <row r="1" spans="1:14" s="425" customFormat="1" ht="21" customHeight="1" x14ac:dyDescent="0.25">
      <c r="A1" s="535" t="s">
        <v>380</v>
      </c>
      <c r="B1" s="630" t="s">
        <v>379</v>
      </c>
      <c r="C1" s="631"/>
      <c r="D1" s="632"/>
      <c r="E1" s="633" t="s">
        <v>378</v>
      </c>
      <c r="F1" s="633"/>
      <c r="G1" s="633"/>
      <c r="H1" s="630" t="s">
        <v>377</v>
      </c>
      <c r="I1" s="631"/>
      <c r="J1" s="631"/>
      <c r="K1" s="634" t="s">
        <v>211</v>
      </c>
      <c r="L1" s="636" t="s">
        <v>375</v>
      </c>
      <c r="M1" s="628" t="s">
        <v>374</v>
      </c>
      <c r="N1" s="586" t="s">
        <v>373</v>
      </c>
    </row>
    <row r="2" spans="1:14" s="531" customFormat="1" ht="34.799999999999997" x14ac:dyDescent="0.25">
      <c r="A2" s="534" t="s">
        <v>372</v>
      </c>
      <c r="B2" s="533" t="s">
        <v>215</v>
      </c>
      <c r="C2" s="533" t="s">
        <v>272</v>
      </c>
      <c r="D2" s="532" t="s">
        <v>368</v>
      </c>
      <c r="E2" s="533" t="s">
        <v>370</v>
      </c>
      <c r="F2" s="533" t="s">
        <v>371</v>
      </c>
      <c r="G2" s="532" t="s">
        <v>368</v>
      </c>
      <c r="H2" s="533" t="s">
        <v>370</v>
      </c>
      <c r="I2" s="533" t="s">
        <v>369</v>
      </c>
      <c r="J2" s="532" t="s">
        <v>368</v>
      </c>
      <c r="K2" s="635"/>
      <c r="L2" s="637"/>
      <c r="M2" s="629"/>
      <c r="N2" s="587"/>
    </row>
    <row r="3" spans="1:14" ht="19.95" customHeight="1" outlineLevel="1" x14ac:dyDescent="0.25">
      <c r="A3" s="426" t="s">
        <v>367</v>
      </c>
      <c r="B3" s="427"/>
      <c r="C3" s="428"/>
      <c r="D3" s="429"/>
      <c r="E3" s="427"/>
      <c r="F3" s="428"/>
      <c r="G3" s="429"/>
      <c r="H3" s="428"/>
      <c r="I3" s="428"/>
      <c r="J3" s="429"/>
      <c r="K3" s="428"/>
      <c r="L3" s="430"/>
      <c r="M3" s="431"/>
      <c r="N3" s="432"/>
    </row>
    <row r="4" spans="1:14" s="437" customFormat="1" ht="19.95" customHeight="1" outlineLevel="1" x14ac:dyDescent="0.25">
      <c r="A4" s="426" t="s">
        <v>366</v>
      </c>
      <c r="B4" s="434"/>
      <c r="C4" s="428"/>
      <c r="D4" s="429"/>
      <c r="E4" s="434"/>
      <c r="F4" s="428"/>
      <c r="G4" s="429"/>
      <c r="H4" s="428"/>
      <c r="I4" s="428"/>
      <c r="J4" s="429"/>
      <c r="K4" s="551"/>
      <c r="L4" s="430"/>
      <c r="M4" s="435"/>
      <c r="N4" s="436"/>
    </row>
    <row r="5" spans="1:14" ht="19.95" customHeight="1" outlineLevel="1" x14ac:dyDescent="0.25">
      <c r="A5" s="426" t="s">
        <v>365</v>
      </c>
      <c r="B5" s="438"/>
      <c r="C5" s="428"/>
      <c r="D5" s="429"/>
      <c r="E5" s="438"/>
      <c r="F5" s="428"/>
      <c r="G5" s="429"/>
      <c r="H5" s="428"/>
      <c r="I5" s="428"/>
      <c r="J5" s="429"/>
      <c r="K5" s="428"/>
      <c r="L5" s="430"/>
      <c r="M5" s="480"/>
      <c r="N5" s="432"/>
    </row>
    <row r="6" spans="1:14" ht="19.95" customHeight="1" outlineLevel="1" x14ac:dyDescent="0.25">
      <c r="A6" s="426" t="s">
        <v>364</v>
      </c>
      <c r="B6" s="434"/>
      <c r="C6" s="428"/>
      <c r="D6" s="429"/>
      <c r="E6" s="434"/>
      <c r="F6" s="428"/>
      <c r="G6" s="429"/>
      <c r="H6" s="428"/>
      <c r="I6" s="428"/>
      <c r="J6" s="429"/>
      <c r="K6" s="428"/>
      <c r="L6" s="430"/>
      <c r="M6" s="450"/>
      <c r="N6" s="451"/>
    </row>
    <row r="7" spans="1:14" ht="19.95" customHeight="1" outlineLevel="1" x14ac:dyDescent="0.25">
      <c r="A7" s="426" t="s">
        <v>363</v>
      </c>
      <c r="B7" s="438"/>
      <c r="C7" s="428"/>
      <c r="D7" s="429"/>
      <c r="E7" s="438"/>
      <c r="F7" s="428"/>
      <c r="G7" s="429"/>
      <c r="H7" s="428"/>
      <c r="I7" s="428"/>
      <c r="J7" s="429"/>
      <c r="K7" s="428"/>
      <c r="L7" s="430"/>
      <c r="M7" s="435"/>
      <c r="N7" s="432"/>
    </row>
    <row r="8" spans="1:14" s="448" customFormat="1" ht="19.95" customHeight="1" x14ac:dyDescent="0.25">
      <c r="A8" s="440" t="s">
        <v>362</v>
      </c>
      <c r="B8" s="441"/>
      <c r="C8" s="441"/>
      <c r="D8" s="442"/>
      <c r="E8" s="441"/>
      <c r="F8" s="441"/>
      <c r="G8" s="442"/>
      <c r="H8" s="443"/>
      <c r="I8" s="443"/>
      <c r="J8" s="442"/>
      <c r="K8" s="444"/>
      <c r="L8" s="445"/>
      <c r="M8" s="446"/>
      <c r="N8" s="447"/>
    </row>
    <row r="9" spans="1:14" ht="19.95" customHeight="1" outlineLevel="1" x14ac:dyDescent="0.25">
      <c r="A9" s="426" t="s">
        <v>361</v>
      </c>
      <c r="B9" s="438"/>
      <c r="C9" s="428"/>
      <c r="D9" s="429"/>
      <c r="E9" s="438"/>
      <c r="F9" s="428"/>
      <c r="G9" s="429"/>
      <c r="H9" s="428"/>
      <c r="I9" s="428"/>
      <c r="J9" s="429"/>
      <c r="K9" s="428"/>
      <c r="L9" s="430"/>
      <c r="M9" s="449"/>
      <c r="N9" s="439"/>
    </row>
    <row r="10" spans="1:14" ht="19.95" customHeight="1" outlineLevel="1" x14ac:dyDescent="0.25">
      <c r="A10" s="426" t="s">
        <v>360</v>
      </c>
      <c r="B10" s="438"/>
      <c r="C10" s="428"/>
      <c r="D10" s="429"/>
      <c r="E10" s="438"/>
      <c r="F10" s="428"/>
      <c r="G10" s="429"/>
      <c r="H10" s="428"/>
      <c r="I10" s="428"/>
      <c r="J10" s="429"/>
      <c r="K10" s="428"/>
      <c r="L10" s="430"/>
      <c r="M10" s="450"/>
      <c r="N10" s="432"/>
    </row>
    <row r="11" spans="1:14" s="448" customFormat="1" ht="19.95" customHeight="1" x14ac:dyDescent="0.25">
      <c r="A11" s="440" t="s">
        <v>359</v>
      </c>
      <c r="B11" s="441"/>
      <c r="C11" s="441"/>
      <c r="D11" s="442"/>
      <c r="E11" s="441"/>
      <c r="F11" s="441"/>
      <c r="G11" s="442"/>
      <c r="H11" s="443"/>
      <c r="I11" s="443"/>
      <c r="J11" s="442"/>
      <c r="K11" s="444"/>
      <c r="L11" s="445"/>
      <c r="M11" s="446"/>
      <c r="N11" s="447"/>
    </row>
    <row r="12" spans="1:14" ht="19.95" customHeight="1" outlineLevel="1" x14ac:dyDescent="0.25">
      <c r="A12" s="426" t="s">
        <v>358</v>
      </c>
      <c r="B12" s="438"/>
      <c r="C12" s="428"/>
      <c r="D12" s="429"/>
      <c r="E12" s="438"/>
      <c r="F12" s="428"/>
      <c r="G12" s="429"/>
      <c r="H12" s="428"/>
      <c r="I12" s="428"/>
      <c r="J12" s="429"/>
      <c r="K12" s="428"/>
      <c r="L12" s="430"/>
      <c r="M12" s="435"/>
      <c r="N12" s="439"/>
    </row>
    <row r="13" spans="1:14" ht="19.95" customHeight="1" outlineLevel="1" x14ac:dyDescent="0.25">
      <c r="A13" s="426" t="s">
        <v>357</v>
      </c>
      <c r="B13" s="438"/>
      <c r="C13" s="428"/>
      <c r="D13" s="429"/>
      <c r="E13" s="438"/>
      <c r="F13" s="428"/>
      <c r="G13" s="429"/>
      <c r="H13" s="428"/>
      <c r="I13" s="428"/>
      <c r="J13" s="429"/>
      <c r="K13" s="428"/>
      <c r="L13" s="430"/>
      <c r="M13" s="480"/>
      <c r="N13" s="432"/>
    </row>
    <row r="14" spans="1:14" s="448" customFormat="1" ht="19.95" customHeight="1" x14ac:dyDescent="0.25">
      <c r="A14" s="440" t="s">
        <v>356</v>
      </c>
      <c r="B14" s="441"/>
      <c r="C14" s="441"/>
      <c r="D14" s="442"/>
      <c r="E14" s="441"/>
      <c r="F14" s="441"/>
      <c r="G14" s="442"/>
      <c r="H14" s="443"/>
      <c r="I14" s="443"/>
      <c r="J14" s="442"/>
      <c r="K14" s="444"/>
      <c r="L14" s="445"/>
      <c r="M14" s="446"/>
      <c r="N14" s="447"/>
    </row>
    <row r="15" spans="1:14" ht="19.95" customHeight="1" outlineLevel="1" x14ac:dyDescent="0.25">
      <c r="A15" s="426" t="s">
        <v>355</v>
      </c>
      <c r="B15" s="434"/>
      <c r="C15" s="428"/>
      <c r="D15" s="429"/>
      <c r="E15" s="434"/>
      <c r="F15" s="428"/>
      <c r="G15" s="429"/>
      <c r="H15" s="428"/>
      <c r="I15" s="428"/>
      <c r="J15" s="429"/>
      <c r="K15" s="428"/>
      <c r="L15" s="430"/>
      <c r="M15" s="450"/>
      <c r="N15" s="432"/>
    </row>
    <row r="16" spans="1:14" ht="19.95" customHeight="1" outlineLevel="1" x14ac:dyDescent="0.25">
      <c r="A16" s="426" t="s">
        <v>354</v>
      </c>
      <c r="B16" s="438"/>
      <c r="C16" s="428"/>
      <c r="D16" s="429"/>
      <c r="E16" s="438"/>
      <c r="F16" s="428"/>
      <c r="G16" s="429"/>
      <c r="H16" s="428"/>
      <c r="I16" s="428"/>
      <c r="J16" s="429"/>
      <c r="K16" s="428"/>
      <c r="L16" s="430"/>
      <c r="M16" s="450"/>
      <c r="N16" s="432"/>
    </row>
    <row r="17" spans="1:14" ht="19.95" customHeight="1" outlineLevel="1" x14ac:dyDescent="0.25">
      <c r="A17" s="426" t="s">
        <v>353</v>
      </c>
      <c r="B17" s="438"/>
      <c r="C17" s="438"/>
      <c r="D17" s="429"/>
      <c r="E17" s="438"/>
      <c r="F17" s="428"/>
      <c r="G17" s="429"/>
      <c r="H17" s="428"/>
      <c r="I17" s="428"/>
      <c r="J17" s="429"/>
      <c r="K17" s="428"/>
      <c r="L17" s="430"/>
      <c r="M17" s="450"/>
      <c r="N17" s="432"/>
    </row>
    <row r="18" spans="1:14" s="448" customFormat="1" ht="19.95" customHeight="1" x14ac:dyDescent="0.25">
      <c r="A18" s="440" t="s">
        <v>352</v>
      </c>
      <c r="B18" s="441"/>
      <c r="C18" s="441"/>
      <c r="D18" s="442"/>
      <c r="E18" s="441"/>
      <c r="F18" s="441"/>
      <c r="G18" s="442"/>
      <c r="H18" s="443"/>
      <c r="I18" s="443"/>
      <c r="J18" s="442"/>
      <c r="K18" s="444"/>
      <c r="L18" s="445"/>
      <c r="M18" s="446"/>
      <c r="N18" s="447"/>
    </row>
    <row r="19" spans="1:14" s="437" customFormat="1" ht="19.95" customHeight="1" x14ac:dyDescent="0.25">
      <c r="A19" s="426" t="s">
        <v>351</v>
      </c>
      <c r="B19" s="434"/>
      <c r="C19" s="428"/>
      <c r="D19" s="429"/>
      <c r="E19" s="434"/>
      <c r="F19" s="428"/>
      <c r="G19" s="429"/>
      <c r="H19" s="428"/>
      <c r="I19" s="428"/>
      <c r="J19" s="429"/>
      <c r="K19" s="428"/>
      <c r="L19" s="430"/>
      <c r="M19" s="450"/>
      <c r="N19" s="451"/>
    </row>
    <row r="20" spans="1:14" s="448" customFormat="1" ht="19.95" customHeight="1" x14ac:dyDescent="0.25">
      <c r="A20" s="440" t="s">
        <v>350</v>
      </c>
      <c r="B20" s="441"/>
      <c r="C20" s="441"/>
      <c r="D20" s="442"/>
      <c r="E20" s="441"/>
      <c r="F20" s="441"/>
      <c r="G20" s="442"/>
      <c r="H20" s="443"/>
      <c r="I20" s="443"/>
      <c r="J20" s="442"/>
      <c r="K20" s="444"/>
      <c r="L20" s="445"/>
      <c r="M20" s="446"/>
      <c r="N20" s="447"/>
    </row>
    <row r="21" spans="1:14" s="459" customFormat="1" ht="19.95" customHeight="1" outlineLevel="1" x14ac:dyDescent="0.25">
      <c r="A21" s="426" t="s">
        <v>349</v>
      </c>
      <c r="B21" s="438"/>
      <c r="C21" s="428"/>
      <c r="D21" s="429"/>
      <c r="E21" s="457"/>
      <c r="F21" s="428"/>
      <c r="G21" s="429"/>
      <c r="H21" s="428"/>
      <c r="I21" s="428"/>
      <c r="J21" s="429"/>
      <c r="K21" s="428"/>
      <c r="L21" s="430"/>
      <c r="M21" s="450"/>
      <c r="N21" s="458"/>
    </row>
    <row r="22" spans="1:14" ht="19.95" customHeight="1" outlineLevel="1" x14ac:dyDescent="0.25">
      <c r="A22" s="426" t="s">
        <v>348</v>
      </c>
      <c r="B22" s="438"/>
      <c r="C22" s="428"/>
      <c r="D22" s="429"/>
      <c r="E22" s="438"/>
      <c r="F22" s="428"/>
      <c r="G22" s="429"/>
      <c r="H22" s="428"/>
      <c r="I22" s="428"/>
      <c r="J22" s="429"/>
      <c r="K22" s="428"/>
      <c r="L22" s="430"/>
      <c r="M22" s="460"/>
      <c r="N22" s="461"/>
    </row>
    <row r="23" spans="1:14" s="448" customFormat="1" ht="19.95" customHeight="1" x14ac:dyDescent="0.25">
      <c r="A23" s="440" t="s">
        <v>347</v>
      </c>
      <c r="B23" s="441"/>
      <c r="C23" s="441"/>
      <c r="D23" s="442"/>
      <c r="E23" s="441"/>
      <c r="F23" s="441"/>
      <c r="G23" s="442"/>
      <c r="H23" s="443"/>
      <c r="I23" s="443"/>
      <c r="J23" s="442"/>
      <c r="K23" s="444"/>
      <c r="L23" s="445"/>
      <c r="M23" s="446"/>
      <c r="N23" s="447"/>
    </row>
    <row r="24" spans="1:14" s="437" customFormat="1" ht="19.95" hidden="1" customHeight="1" x14ac:dyDescent="0.25">
      <c r="A24" s="426" t="s">
        <v>346</v>
      </c>
      <c r="B24" s="462"/>
      <c r="C24" s="462"/>
      <c r="D24" s="463"/>
      <c r="E24" s="464"/>
      <c r="F24" s="464"/>
      <c r="G24" s="463"/>
      <c r="H24" s="465"/>
      <c r="I24" s="465"/>
      <c r="J24" s="463"/>
      <c r="K24" s="465"/>
      <c r="L24" s="430"/>
      <c r="M24" s="466"/>
      <c r="N24" s="451"/>
    </row>
    <row r="25" spans="1:14" s="437" customFormat="1" ht="19.95" hidden="1" customHeight="1" x14ac:dyDescent="0.25">
      <c r="A25" s="426" t="s">
        <v>345</v>
      </c>
      <c r="B25" s="462"/>
      <c r="C25" s="462"/>
      <c r="D25" s="463"/>
      <c r="E25" s="464"/>
      <c r="F25" s="464"/>
      <c r="G25" s="463"/>
      <c r="H25" s="465"/>
      <c r="I25" s="465"/>
      <c r="J25" s="463"/>
      <c r="K25" s="465"/>
      <c r="L25" s="430"/>
      <c r="M25" s="466"/>
      <c r="N25" s="451"/>
    </row>
    <row r="26" spans="1:14" s="437" customFormat="1" ht="19.95" hidden="1" customHeight="1" x14ac:dyDescent="0.25">
      <c r="A26" s="426" t="s">
        <v>344</v>
      </c>
      <c r="B26" s="462"/>
      <c r="C26" s="462"/>
      <c r="D26" s="463"/>
      <c r="E26" s="464"/>
      <c r="F26" s="464"/>
      <c r="G26" s="463"/>
      <c r="H26" s="465"/>
      <c r="I26" s="465"/>
      <c r="J26" s="463"/>
      <c r="K26" s="465"/>
      <c r="L26" s="430"/>
      <c r="M26" s="466"/>
      <c r="N26" s="451"/>
    </row>
    <row r="27" spans="1:14" s="437" customFormat="1" ht="19.95" hidden="1" customHeight="1" x14ac:dyDescent="0.25">
      <c r="A27" s="426" t="s">
        <v>343</v>
      </c>
      <c r="B27" s="462"/>
      <c r="C27" s="462"/>
      <c r="D27" s="463"/>
      <c r="E27" s="464"/>
      <c r="F27" s="464"/>
      <c r="G27" s="463"/>
      <c r="H27" s="465"/>
      <c r="I27" s="465"/>
      <c r="J27" s="463"/>
      <c r="K27" s="465"/>
      <c r="L27" s="430"/>
      <c r="M27" s="466"/>
      <c r="N27" s="451"/>
    </row>
    <row r="28" spans="1:14" s="437" customFormat="1" ht="19.95" hidden="1" customHeight="1" x14ac:dyDescent="0.25">
      <c r="A28" s="426" t="s">
        <v>342</v>
      </c>
      <c r="B28" s="462"/>
      <c r="C28" s="462"/>
      <c r="D28" s="463"/>
      <c r="E28" s="464"/>
      <c r="F28" s="464"/>
      <c r="G28" s="463"/>
      <c r="H28" s="465"/>
      <c r="I28" s="465"/>
      <c r="J28" s="463"/>
      <c r="K28" s="465"/>
      <c r="L28" s="430"/>
      <c r="M28" s="466"/>
      <c r="N28" s="451"/>
    </row>
    <row r="29" spans="1:14" s="437" customFormat="1" ht="19.95" customHeight="1" x14ac:dyDescent="0.25">
      <c r="A29" s="426" t="s">
        <v>341</v>
      </c>
      <c r="B29" s="462"/>
      <c r="C29" s="428"/>
      <c r="D29" s="429"/>
      <c r="E29" s="464"/>
      <c r="F29" s="428"/>
      <c r="G29" s="429"/>
      <c r="H29" s="428"/>
      <c r="I29" s="428"/>
      <c r="J29" s="429"/>
      <c r="K29" s="428"/>
      <c r="L29" s="430"/>
      <c r="M29" s="468"/>
      <c r="N29" s="436"/>
    </row>
    <row r="30" spans="1:14" s="437" customFormat="1" ht="19.95" hidden="1" customHeight="1" x14ac:dyDescent="0.25">
      <c r="A30" s="426" t="s">
        <v>340</v>
      </c>
      <c r="B30" s="462"/>
      <c r="C30" s="462"/>
      <c r="D30" s="463"/>
      <c r="E30" s="464"/>
      <c r="F30" s="464"/>
      <c r="G30" s="463"/>
      <c r="H30" s="465"/>
      <c r="I30" s="465"/>
      <c r="J30" s="463"/>
      <c r="K30" s="465"/>
      <c r="L30" s="430"/>
      <c r="M30" s="468"/>
      <c r="N30" s="436"/>
    </row>
    <row r="31" spans="1:14" s="437" customFormat="1" ht="19.95" hidden="1" customHeight="1" x14ac:dyDescent="0.25">
      <c r="A31" s="426" t="s">
        <v>339</v>
      </c>
      <c r="B31" s="462"/>
      <c r="C31" s="462"/>
      <c r="D31" s="463"/>
      <c r="E31" s="464"/>
      <c r="F31" s="464"/>
      <c r="G31" s="463"/>
      <c r="H31" s="465"/>
      <c r="I31" s="465"/>
      <c r="J31" s="463"/>
      <c r="K31" s="465"/>
      <c r="L31" s="430"/>
      <c r="M31" s="468"/>
      <c r="N31" s="436"/>
    </row>
    <row r="32" spans="1:14" s="437" customFormat="1" ht="19.95" hidden="1" customHeight="1" x14ac:dyDescent="0.25">
      <c r="A32" s="426" t="s">
        <v>338</v>
      </c>
      <c r="B32" s="462"/>
      <c r="C32" s="462"/>
      <c r="D32" s="463"/>
      <c r="E32" s="464"/>
      <c r="F32" s="464"/>
      <c r="G32" s="463"/>
      <c r="H32" s="465"/>
      <c r="I32" s="465"/>
      <c r="J32" s="463"/>
      <c r="K32" s="465"/>
      <c r="L32" s="430"/>
      <c r="M32" s="468"/>
      <c r="N32" s="436"/>
    </row>
    <row r="33" spans="1:14" s="437" customFormat="1" ht="19.95" hidden="1" customHeight="1" x14ac:dyDescent="0.25">
      <c r="A33" s="426" t="s">
        <v>337</v>
      </c>
      <c r="B33" s="462"/>
      <c r="C33" s="462"/>
      <c r="D33" s="463"/>
      <c r="E33" s="464"/>
      <c r="F33" s="464"/>
      <c r="G33" s="463"/>
      <c r="H33" s="465"/>
      <c r="I33" s="465"/>
      <c r="J33" s="463"/>
      <c r="K33" s="465"/>
      <c r="L33" s="430"/>
      <c r="M33" s="468"/>
      <c r="N33" s="436"/>
    </row>
    <row r="34" spans="1:14" s="437" customFormat="1" ht="19.95" hidden="1" customHeight="1" x14ac:dyDescent="0.25">
      <c r="A34" s="426" t="s">
        <v>336</v>
      </c>
      <c r="B34" s="462"/>
      <c r="C34" s="462"/>
      <c r="D34" s="463"/>
      <c r="E34" s="464"/>
      <c r="F34" s="464"/>
      <c r="G34" s="463"/>
      <c r="H34" s="465"/>
      <c r="I34" s="465"/>
      <c r="J34" s="463"/>
      <c r="K34" s="465"/>
      <c r="L34" s="430"/>
      <c r="M34" s="468"/>
      <c r="N34" s="436"/>
    </row>
    <row r="35" spans="1:14" s="437" customFormat="1" ht="19.95" hidden="1" customHeight="1" x14ac:dyDescent="0.25">
      <c r="A35" s="426" t="s">
        <v>335</v>
      </c>
      <c r="B35" s="462"/>
      <c r="C35" s="462"/>
      <c r="D35" s="463"/>
      <c r="E35" s="464"/>
      <c r="F35" s="464"/>
      <c r="G35" s="463"/>
      <c r="H35" s="465"/>
      <c r="I35" s="465"/>
      <c r="J35" s="463"/>
      <c r="K35" s="465"/>
      <c r="L35" s="430"/>
      <c r="M35" s="468"/>
      <c r="N35" s="436"/>
    </row>
    <row r="36" spans="1:14" s="448" customFormat="1" ht="19.95" customHeight="1" x14ac:dyDescent="0.25">
      <c r="A36" s="440" t="s">
        <v>334</v>
      </c>
      <c r="B36" s="441"/>
      <c r="C36" s="441"/>
      <c r="D36" s="442"/>
      <c r="E36" s="441"/>
      <c r="F36" s="441"/>
      <c r="G36" s="442"/>
      <c r="H36" s="441"/>
      <c r="I36" s="441"/>
      <c r="J36" s="442"/>
      <c r="K36" s="441"/>
      <c r="L36" s="445"/>
      <c r="M36" s="446"/>
      <c r="N36" s="446"/>
    </row>
    <row r="37" spans="1:14" ht="19.95" customHeight="1" x14ac:dyDescent="0.25">
      <c r="A37" s="426" t="s">
        <v>333</v>
      </c>
      <c r="B37" s="462"/>
      <c r="C37" s="428"/>
      <c r="D37" s="429"/>
      <c r="E37" s="464"/>
      <c r="F37" s="428"/>
      <c r="G37" s="429"/>
      <c r="H37" s="428"/>
      <c r="I37" s="428"/>
      <c r="J37" s="429"/>
      <c r="K37" s="428"/>
      <c r="L37" s="430"/>
      <c r="M37" s="466"/>
      <c r="N37" s="432"/>
    </row>
    <row r="38" spans="1:14" s="474" customFormat="1" ht="19.95" customHeight="1" x14ac:dyDescent="0.25">
      <c r="A38" s="469" t="s">
        <v>332</v>
      </c>
      <c r="B38" s="470"/>
      <c r="C38" s="470"/>
      <c r="D38" s="471"/>
      <c r="E38" s="470"/>
      <c r="F38" s="470"/>
      <c r="G38" s="471"/>
      <c r="H38" s="470"/>
      <c r="I38" s="470"/>
      <c r="J38" s="471"/>
      <c r="K38" s="470"/>
      <c r="L38" s="472"/>
      <c r="M38" s="473"/>
    </row>
    <row r="39" spans="1:14" ht="19.95" customHeight="1" x14ac:dyDescent="0.25">
      <c r="A39" s="475" t="s">
        <v>331</v>
      </c>
      <c r="B39" s="438"/>
      <c r="C39" s="428"/>
      <c r="D39" s="429"/>
      <c r="E39" s="438"/>
      <c r="F39" s="428"/>
      <c r="G39" s="429"/>
      <c r="H39" s="428"/>
      <c r="I39" s="428"/>
      <c r="J39" s="429"/>
      <c r="K39" s="428"/>
      <c r="L39" s="430"/>
      <c r="M39" s="450"/>
      <c r="N39" s="432"/>
    </row>
    <row r="40" spans="1:14" ht="19.95" hidden="1" customHeight="1" x14ac:dyDescent="0.25">
      <c r="A40" s="475" t="s">
        <v>279</v>
      </c>
      <c r="B40" s="438"/>
      <c r="C40" s="428"/>
      <c r="D40" s="429"/>
      <c r="E40" s="438"/>
      <c r="F40" s="428"/>
      <c r="G40" s="429"/>
      <c r="H40" s="428"/>
      <c r="I40" s="428"/>
      <c r="J40" s="429"/>
      <c r="K40" s="428"/>
      <c r="L40" s="430"/>
      <c r="M40" s="450"/>
      <c r="N40" s="432"/>
    </row>
    <row r="41" spans="1:14" ht="19.95" hidden="1" customHeight="1" x14ac:dyDescent="0.25">
      <c r="A41" s="475" t="s">
        <v>330</v>
      </c>
      <c r="B41" s="438"/>
      <c r="C41" s="428"/>
      <c r="D41" s="429"/>
      <c r="E41" s="438"/>
      <c r="F41" s="428"/>
      <c r="G41" s="429"/>
      <c r="H41" s="428"/>
      <c r="I41" s="428"/>
      <c r="J41" s="429"/>
      <c r="K41" s="428"/>
      <c r="L41" s="430"/>
      <c r="M41" s="450"/>
      <c r="N41" s="432"/>
    </row>
    <row r="42" spans="1:14" ht="19.95" hidden="1" customHeight="1" x14ac:dyDescent="0.25">
      <c r="A42" s="475" t="s">
        <v>329</v>
      </c>
      <c r="B42" s="438"/>
      <c r="C42" s="428"/>
      <c r="D42" s="429"/>
      <c r="E42" s="438"/>
      <c r="F42" s="428"/>
      <c r="G42" s="429"/>
      <c r="H42" s="428"/>
      <c r="I42" s="428"/>
      <c r="J42" s="429"/>
      <c r="K42" s="428"/>
      <c r="L42" s="430"/>
      <c r="M42" s="450"/>
      <c r="N42" s="432"/>
    </row>
    <row r="43" spans="1:14" ht="19.95" hidden="1" customHeight="1" x14ac:dyDescent="0.25">
      <c r="A43" s="475" t="s">
        <v>280</v>
      </c>
      <c r="B43" s="438"/>
      <c r="C43" s="428"/>
      <c r="D43" s="429"/>
      <c r="E43" s="438"/>
      <c r="F43" s="428"/>
      <c r="G43" s="429"/>
      <c r="H43" s="428"/>
      <c r="I43" s="428"/>
      <c r="J43" s="429"/>
      <c r="K43" s="428"/>
      <c r="L43" s="430"/>
      <c r="M43" s="450"/>
      <c r="N43" s="432"/>
    </row>
    <row r="44" spans="1:14" ht="19.95" hidden="1" customHeight="1" x14ac:dyDescent="0.25">
      <c r="A44" s="475" t="s">
        <v>328</v>
      </c>
      <c r="B44" s="438"/>
      <c r="C44" s="428"/>
      <c r="D44" s="429"/>
      <c r="E44" s="438"/>
      <c r="F44" s="428"/>
      <c r="G44" s="429"/>
      <c r="H44" s="428"/>
      <c r="I44" s="428"/>
      <c r="J44" s="429"/>
      <c r="K44" s="428"/>
      <c r="L44" s="430"/>
      <c r="M44" s="450"/>
      <c r="N44" s="432"/>
    </row>
    <row r="45" spans="1:14" ht="19.95" customHeight="1" x14ac:dyDescent="0.25">
      <c r="A45" s="475" t="s">
        <v>327</v>
      </c>
      <c r="B45" s="438"/>
      <c r="C45" s="428"/>
      <c r="D45" s="429"/>
      <c r="E45" s="438"/>
      <c r="F45" s="428"/>
      <c r="G45" s="429"/>
      <c r="H45" s="428"/>
      <c r="I45" s="428"/>
      <c r="J45" s="429"/>
      <c r="K45" s="428"/>
      <c r="L45" s="430"/>
      <c r="M45" s="450"/>
      <c r="N45" s="432"/>
    </row>
    <row r="46" spans="1:14" ht="19.95" hidden="1" customHeight="1" x14ac:dyDescent="0.25">
      <c r="A46" s="426" t="s">
        <v>381</v>
      </c>
      <c r="B46" s="462"/>
      <c r="C46" s="462"/>
      <c r="D46" s="429"/>
      <c r="E46" s="464"/>
      <c r="F46" s="464"/>
      <c r="G46" s="429"/>
      <c r="H46" s="465"/>
      <c r="I46" s="465"/>
      <c r="J46" s="429"/>
      <c r="K46" s="465"/>
      <c r="L46" s="430"/>
      <c r="M46" s="466"/>
      <c r="N46" s="432"/>
    </row>
    <row r="47" spans="1:14" s="474" customFormat="1" ht="19.95" customHeight="1" x14ac:dyDescent="0.25">
      <c r="A47" s="469" t="s">
        <v>325</v>
      </c>
      <c r="B47" s="470"/>
      <c r="C47" s="470"/>
      <c r="D47" s="471"/>
      <c r="E47" s="470"/>
      <c r="F47" s="470"/>
      <c r="G47" s="471"/>
      <c r="H47" s="470"/>
      <c r="I47" s="470"/>
      <c r="J47" s="471"/>
      <c r="K47" s="470"/>
      <c r="L47" s="472"/>
      <c r="M47" s="470"/>
      <c r="N47" s="469"/>
    </row>
  </sheetData>
  <mergeCells count="7">
    <mergeCell ref="M1:M2"/>
    <mergeCell ref="N1:N2"/>
    <mergeCell ref="B1:D1"/>
    <mergeCell ref="E1:G1"/>
    <mergeCell ref="H1:J1"/>
    <mergeCell ref="K1:K2"/>
    <mergeCell ref="L1:L2"/>
  </mergeCells>
  <phoneticPr fontId="6" type="noConversion"/>
  <pageMargins left="0.16" right="0.16" top="0.27" bottom="0.2" header="0.22" footer="0.16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M42"/>
  <sheetViews>
    <sheetView zoomScale="70" zoomScaleNormal="70" workbookViewId="0">
      <pane xSplit="15" ySplit="3" topLeftCell="Q16" activePane="bottomRight" state="frozen"/>
      <selection activeCell="B1" sqref="B1:D33"/>
      <selection pane="topRight" activeCell="B1" sqref="B1:D33"/>
      <selection pane="bottomLeft" activeCell="B1" sqref="B1:D33"/>
      <selection pane="bottomRight" activeCell="AC31" sqref="AC31"/>
    </sheetView>
  </sheetViews>
  <sheetFormatPr defaultRowHeight="15.6" x14ac:dyDescent="0.25"/>
  <cols>
    <col min="1" max="1" width="6.21875" customWidth="1"/>
    <col min="2" max="2" width="4.88671875" customWidth="1"/>
    <col min="3" max="3" width="20.44140625" customWidth="1"/>
    <col min="4" max="8" width="13" style="60" hidden="1" customWidth="1"/>
    <col min="9" max="9" width="9.21875" style="60" hidden="1" customWidth="1"/>
    <col min="10" max="10" width="10.6640625" style="60" hidden="1" customWidth="1"/>
    <col min="11" max="14" width="13" style="60" hidden="1" customWidth="1"/>
    <col min="15" max="15" width="10.109375" style="60" hidden="1" customWidth="1"/>
    <col min="16" max="16" width="15.21875" style="60" customWidth="1"/>
    <col min="17" max="20" width="13" style="60" customWidth="1"/>
    <col min="21" max="21" width="9" style="60" customWidth="1"/>
    <col min="22" max="22" width="10.88671875" style="60" customWidth="1"/>
    <col min="23" max="23" width="13.44140625" style="60" bestFit="1" customWidth="1"/>
    <col min="24" max="26" width="11.109375" bestFit="1" customWidth="1"/>
    <col min="27" max="27" width="9" customWidth="1"/>
    <col min="28" max="28" width="9.44140625" bestFit="1" customWidth="1"/>
    <col min="29" max="30" width="12.33203125" customWidth="1"/>
    <col min="31" max="31" width="13.33203125" bestFit="1" customWidth="1"/>
    <col min="32" max="32" width="11.88671875" bestFit="1" customWidth="1"/>
    <col min="33" max="33" width="15.109375" customWidth="1"/>
    <col min="34" max="35" width="16.21875" customWidth="1"/>
    <col min="38" max="38" width="11.21875" bestFit="1" customWidth="1"/>
  </cols>
  <sheetData>
    <row r="1" spans="2:36" ht="17.399999999999999" customHeight="1" x14ac:dyDescent="0.25">
      <c r="B1" s="648" t="s">
        <v>42</v>
      </c>
      <c r="C1" s="648"/>
      <c r="D1" s="96" t="s">
        <v>43</v>
      </c>
      <c r="E1" s="646" t="s">
        <v>44</v>
      </c>
      <c r="F1" s="646"/>
      <c r="G1" s="646"/>
      <c r="H1" s="646"/>
      <c r="I1" s="646"/>
      <c r="J1" s="646"/>
      <c r="K1" s="646" t="s">
        <v>45</v>
      </c>
      <c r="L1" s="646"/>
      <c r="M1" s="646"/>
      <c r="N1" s="646"/>
      <c r="O1" s="646"/>
      <c r="P1" s="646"/>
      <c r="Q1" s="646" t="s">
        <v>46</v>
      </c>
      <c r="R1" s="646"/>
      <c r="S1" s="646"/>
      <c r="T1" s="646"/>
      <c r="U1" s="646"/>
      <c r="V1" s="646"/>
      <c r="W1" s="646" t="s">
        <v>47</v>
      </c>
      <c r="X1" s="646"/>
      <c r="Y1" s="646"/>
      <c r="Z1" s="646"/>
      <c r="AA1" s="646"/>
      <c r="AB1" s="646"/>
      <c r="AC1" s="647" t="s">
        <v>48</v>
      </c>
      <c r="AD1" s="647"/>
      <c r="AE1" s="647"/>
      <c r="AF1" s="647"/>
      <c r="AG1" s="647"/>
      <c r="AH1" s="647"/>
      <c r="AI1" s="642" t="s">
        <v>49</v>
      </c>
    </row>
    <row r="2" spans="2:36" ht="32.4" customHeight="1" x14ac:dyDescent="0.25">
      <c r="B2" s="648"/>
      <c r="C2" s="648"/>
      <c r="D2" s="645" t="s">
        <v>50</v>
      </c>
      <c r="E2" s="646" t="s">
        <v>51</v>
      </c>
      <c r="F2" s="646"/>
      <c r="G2" s="646"/>
      <c r="H2" s="646" t="s">
        <v>52</v>
      </c>
      <c r="I2" s="646"/>
      <c r="J2" s="645" t="s">
        <v>50</v>
      </c>
      <c r="K2" s="646" t="s">
        <v>51</v>
      </c>
      <c r="L2" s="646"/>
      <c r="M2" s="646"/>
      <c r="N2" s="646" t="s">
        <v>52</v>
      </c>
      <c r="O2" s="646"/>
      <c r="P2" s="645" t="s">
        <v>50</v>
      </c>
      <c r="Q2" s="646" t="s">
        <v>51</v>
      </c>
      <c r="R2" s="646"/>
      <c r="S2" s="646"/>
      <c r="T2" s="646" t="s">
        <v>52</v>
      </c>
      <c r="U2" s="646"/>
      <c r="V2" s="645" t="s">
        <v>50</v>
      </c>
      <c r="W2" s="646" t="s">
        <v>51</v>
      </c>
      <c r="X2" s="646"/>
      <c r="Y2" s="646"/>
      <c r="Z2" s="646" t="s">
        <v>52</v>
      </c>
      <c r="AA2" s="646"/>
      <c r="AB2" s="645" t="s">
        <v>50</v>
      </c>
      <c r="AC2" s="646" t="s">
        <v>51</v>
      </c>
      <c r="AD2" s="646"/>
      <c r="AE2" s="646"/>
      <c r="AF2" s="646" t="s">
        <v>52</v>
      </c>
      <c r="AG2" s="646"/>
      <c r="AH2" s="647" t="s">
        <v>53</v>
      </c>
      <c r="AI2" s="643"/>
    </row>
    <row r="3" spans="2:36" ht="52.2" x14ac:dyDescent="0.25">
      <c r="B3" s="648"/>
      <c r="C3" s="648"/>
      <c r="D3" s="645"/>
      <c r="E3" s="97" t="s">
        <v>54</v>
      </c>
      <c r="F3" s="97" t="s">
        <v>55</v>
      </c>
      <c r="G3" s="97" t="s">
        <v>56</v>
      </c>
      <c r="H3" s="97" t="s">
        <v>57</v>
      </c>
      <c r="I3" s="97" t="s">
        <v>58</v>
      </c>
      <c r="J3" s="646"/>
      <c r="K3" s="97" t="s">
        <v>54</v>
      </c>
      <c r="L3" s="97" t="s">
        <v>55</v>
      </c>
      <c r="M3" s="97" t="s">
        <v>56</v>
      </c>
      <c r="N3" s="97" t="s">
        <v>57</v>
      </c>
      <c r="O3" s="97" t="s">
        <v>58</v>
      </c>
      <c r="P3" s="646"/>
      <c r="Q3" s="97" t="s">
        <v>54</v>
      </c>
      <c r="R3" s="97" t="s">
        <v>55</v>
      </c>
      <c r="S3" s="97" t="s">
        <v>56</v>
      </c>
      <c r="T3" s="97" t="s">
        <v>57</v>
      </c>
      <c r="U3" s="97" t="s">
        <v>58</v>
      </c>
      <c r="V3" s="646"/>
      <c r="W3" s="97" t="s">
        <v>54</v>
      </c>
      <c r="X3" s="97" t="s">
        <v>55</v>
      </c>
      <c r="Y3" s="97" t="s">
        <v>56</v>
      </c>
      <c r="Z3" s="97" t="s">
        <v>57</v>
      </c>
      <c r="AA3" s="97" t="s">
        <v>58</v>
      </c>
      <c r="AB3" s="646"/>
      <c r="AC3" s="97" t="s">
        <v>54</v>
      </c>
      <c r="AD3" s="97" t="s">
        <v>55</v>
      </c>
      <c r="AE3" s="97" t="s">
        <v>56</v>
      </c>
      <c r="AF3" s="97" t="s">
        <v>57</v>
      </c>
      <c r="AG3" s="97" t="s">
        <v>58</v>
      </c>
      <c r="AH3" s="647"/>
      <c r="AI3" s="644"/>
    </row>
    <row r="4" spans="2:36" ht="16.2" x14ac:dyDescent="0.25">
      <c r="B4" s="34">
        <v>1</v>
      </c>
      <c r="C4" s="35" t="s">
        <v>30</v>
      </c>
      <c r="D4" s="37">
        <v>45.14</v>
      </c>
      <c r="E4" s="37">
        <v>10.666939999999999</v>
      </c>
      <c r="F4" s="37">
        <v>3.7529975794370269</v>
      </c>
      <c r="G4" s="37">
        <v>42.733000000000004</v>
      </c>
      <c r="H4" s="37">
        <v>0</v>
      </c>
      <c r="I4" s="37">
        <v>0</v>
      </c>
      <c r="J4" s="37">
        <v>42.732999999999997</v>
      </c>
      <c r="K4" s="37">
        <v>10.66694</v>
      </c>
      <c r="L4" s="37">
        <v>3.15</v>
      </c>
      <c r="M4" s="37">
        <v>33.653199999999998</v>
      </c>
      <c r="N4" s="37">
        <v>0</v>
      </c>
      <c r="O4" s="37">
        <v>0</v>
      </c>
      <c r="P4" s="37">
        <v>33.653199999999998</v>
      </c>
      <c r="Q4" s="37"/>
      <c r="R4" s="37"/>
      <c r="S4" s="37"/>
      <c r="T4" s="37"/>
      <c r="U4" s="37"/>
      <c r="V4" s="37"/>
      <c r="W4" s="37"/>
      <c r="X4" s="37"/>
      <c r="Y4" s="37"/>
      <c r="Z4" s="67"/>
      <c r="AA4" s="67"/>
      <c r="AB4" s="67"/>
      <c r="AC4" s="67"/>
      <c r="AD4" s="67"/>
      <c r="AE4" s="67"/>
      <c r="AF4" s="67"/>
      <c r="AG4" s="67"/>
      <c r="AH4" s="67"/>
      <c r="AI4" s="52"/>
      <c r="AJ4" s="98"/>
    </row>
    <row r="5" spans="2:36" ht="16.2" x14ac:dyDescent="0.25">
      <c r="B5" s="34">
        <v>2</v>
      </c>
      <c r="C5" s="35" t="s">
        <v>31</v>
      </c>
      <c r="D5" s="37">
        <v>26.101280800000001</v>
      </c>
      <c r="E5" s="37">
        <v>10.190899999999999</v>
      </c>
      <c r="F5" s="37">
        <v>2.2839999999999998</v>
      </c>
      <c r="G5" s="37">
        <v>23.276015599999997</v>
      </c>
      <c r="H5" s="37">
        <v>3.3</v>
      </c>
      <c r="I5" s="37">
        <v>0</v>
      </c>
      <c r="J5" s="37">
        <v>26.576015599999998</v>
      </c>
      <c r="K5" s="37">
        <v>10.190899999999999</v>
      </c>
      <c r="L5" s="37">
        <v>2.29</v>
      </c>
      <c r="M5" s="37">
        <v>23.286206499999999</v>
      </c>
      <c r="N5" s="37">
        <v>3.3149999999999999</v>
      </c>
      <c r="O5" s="37">
        <v>0</v>
      </c>
      <c r="P5" s="37">
        <v>26.6012065</v>
      </c>
      <c r="Q5" s="37"/>
      <c r="R5" s="37"/>
      <c r="S5" s="37"/>
      <c r="T5" s="37"/>
      <c r="U5" s="37"/>
      <c r="V5" s="37"/>
      <c r="W5" s="37"/>
      <c r="X5" s="37"/>
      <c r="Y5" s="37"/>
      <c r="Z5" s="67"/>
      <c r="AA5" s="67"/>
      <c r="AB5" s="67"/>
      <c r="AC5" s="67"/>
      <c r="AD5" s="67"/>
      <c r="AE5" s="67"/>
      <c r="AF5" s="67"/>
      <c r="AG5" s="67"/>
      <c r="AH5" s="67"/>
      <c r="AI5" s="42"/>
      <c r="AJ5" s="98">
        <v>2.8</v>
      </c>
    </row>
    <row r="6" spans="2:36" ht="16.2" x14ac:dyDescent="0.25">
      <c r="B6" s="34">
        <v>3</v>
      </c>
      <c r="C6" s="35" t="s">
        <v>32</v>
      </c>
      <c r="D6" s="37">
        <v>0</v>
      </c>
      <c r="E6" s="37">
        <v>6.1121999999999996</v>
      </c>
      <c r="F6" s="37">
        <v>4.2</v>
      </c>
      <c r="G6" s="37">
        <v>25.671240000000001</v>
      </c>
      <c r="H6" s="37">
        <v>0</v>
      </c>
      <c r="I6" s="37">
        <v>0</v>
      </c>
      <c r="J6" s="37">
        <v>25.671240000000001</v>
      </c>
      <c r="K6" s="37">
        <v>6.1121999999999996</v>
      </c>
      <c r="L6" s="37">
        <v>3.5449999999999999</v>
      </c>
      <c r="M6" s="37">
        <v>22.9636776</v>
      </c>
      <c r="N6" s="37">
        <v>0</v>
      </c>
      <c r="O6" s="37">
        <v>0</v>
      </c>
      <c r="P6" s="37">
        <v>22.9636776</v>
      </c>
      <c r="Q6" s="37"/>
      <c r="R6" s="37"/>
      <c r="S6" s="37"/>
      <c r="T6" s="37"/>
      <c r="U6" s="37"/>
      <c r="V6" s="37"/>
      <c r="W6" s="37"/>
      <c r="X6" s="37"/>
      <c r="Y6" s="37"/>
      <c r="Z6" s="67"/>
      <c r="AA6" s="67"/>
      <c r="AB6" s="67"/>
      <c r="AC6" s="37"/>
      <c r="AD6" s="67"/>
      <c r="AE6" s="67"/>
      <c r="AF6" s="67"/>
      <c r="AG6" s="67"/>
      <c r="AH6" s="67"/>
      <c r="AI6" s="42"/>
      <c r="AJ6" s="98"/>
    </row>
    <row r="7" spans="2:36" ht="16.2" x14ac:dyDescent="0.25">
      <c r="B7" s="34">
        <v>4</v>
      </c>
      <c r="C7" s="35" t="s">
        <v>33</v>
      </c>
      <c r="D7" s="37">
        <v>30.249040000000004</v>
      </c>
      <c r="E7" s="37">
        <v>9.0472000000000001</v>
      </c>
      <c r="F7" s="37">
        <v>3.1</v>
      </c>
      <c r="G7" s="37">
        <v>29.116320000000002</v>
      </c>
      <c r="H7" s="37">
        <v>1</v>
      </c>
      <c r="I7" s="37">
        <v>0</v>
      </c>
      <c r="J7" s="37">
        <v>29.416320000000002</v>
      </c>
      <c r="K7" s="37">
        <v>8.9871999999999996</v>
      </c>
      <c r="L7" s="37">
        <v>3</v>
      </c>
      <c r="M7" s="37">
        <v>26.962104000000004</v>
      </c>
      <c r="N7" s="37">
        <v>0</v>
      </c>
      <c r="O7" s="37">
        <v>0.92400000000000004</v>
      </c>
      <c r="P7" s="37">
        <v>27.886104000000003</v>
      </c>
      <c r="Q7" s="37"/>
      <c r="R7" s="37"/>
      <c r="S7" s="37"/>
      <c r="T7" s="37"/>
      <c r="U7" s="37"/>
      <c r="V7" s="37"/>
      <c r="W7" s="37"/>
      <c r="X7" s="37"/>
      <c r="Y7" s="37"/>
      <c r="Z7" s="67"/>
      <c r="AA7" s="67"/>
      <c r="AB7" s="67"/>
      <c r="AC7" s="67"/>
      <c r="AD7" s="67"/>
      <c r="AE7" s="67"/>
      <c r="AF7" s="67"/>
      <c r="AG7" s="67"/>
      <c r="AH7" s="67"/>
      <c r="AI7" s="42"/>
      <c r="AJ7" s="98"/>
    </row>
    <row r="8" spans="2:36" ht="16.2" x14ac:dyDescent="0.25">
      <c r="B8" s="34">
        <v>5</v>
      </c>
      <c r="C8" s="46" t="s">
        <v>34</v>
      </c>
      <c r="D8" s="37">
        <v>47.289473892112845</v>
      </c>
      <c r="E8" s="37">
        <v>13.062900000000001</v>
      </c>
      <c r="F8" s="37">
        <v>3.8639999999999999</v>
      </c>
      <c r="G8" s="37">
        <v>51.338062047796463</v>
      </c>
      <c r="H8" s="37">
        <v>0</v>
      </c>
      <c r="I8" s="37">
        <v>0</v>
      </c>
      <c r="J8" s="37">
        <v>51.338062047796463</v>
      </c>
      <c r="K8" s="37">
        <v>11.319998202257617</v>
      </c>
      <c r="L8" s="37">
        <v>3.7</v>
      </c>
      <c r="M8" s="37">
        <v>41.055532774340655</v>
      </c>
      <c r="N8" s="37">
        <v>0</v>
      </c>
      <c r="O8" s="37">
        <v>1.1091950208064281</v>
      </c>
      <c r="P8" s="37">
        <v>42.164727795147087</v>
      </c>
      <c r="Q8" s="37"/>
      <c r="R8" s="37"/>
      <c r="S8" s="37"/>
      <c r="T8" s="37"/>
      <c r="U8" s="37"/>
      <c r="V8" s="37"/>
      <c r="W8" s="37"/>
      <c r="X8" s="37"/>
      <c r="Y8" s="37"/>
      <c r="Z8" s="67"/>
      <c r="AA8" s="67"/>
      <c r="AB8" s="67"/>
      <c r="AC8" s="67"/>
      <c r="AD8" s="67"/>
      <c r="AE8" s="67"/>
      <c r="AF8" s="37"/>
      <c r="AG8" s="67"/>
      <c r="AH8" s="67"/>
      <c r="AI8" s="42"/>
      <c r="AJ8" s="98"/>
    </row>
    <row r="9" spans="2:36" s="51" customFormat="1" ht="16.2" x14ac:dyDescent="0.25">
      <c r="B9" s="640" t="s">
        <v>59</v>
      </c>
      <c r="C9" s="641"/>
      <c r="D9" s="48">
        <f>SUM(D4:D8)</f>
        <v>148.77979469211286</v>
      </c>
      <c r="E9" s="48">
        <f t="shared" ref="E9:U9" si="0">SUM(E4:E8)</f>
        <v>49.08014</v>
      </c>
      <c r="F9" s="48"/>
      <c r="G9" s="48">
        <f t="shared" si="0"/>
        <v>172.13463764779647</v>
      </c>
      <c r="H9" s="48">
        <f t="shared" si="0"/>
        <v>4.3</v>
      </c>
      <c r="I9" s="48">
        <f t="shared" si="0"/>
        <v>0</v>
      </c>
      <c r="J9" s="48">
        <f>SUM(J4:J8)</f>
        <v>175.73463764779646</v>
      </c>
      <c r="K9" s="48">
        <f t="shared" si="0"/>
        <v>47.277238202257614</v>
      </c>
      <c r="L9" s="48"/>
      <c r="M9" s="48">
        <f t="shared" si="0"/>
        <v>147.92072087434067</v>
      </c>
      <c r="N9" s="48">
        <f t="shared" si="0"/>
        <v>3.3149999999999999</v>
      </c>
      <c r="O9" s="48">
        <f t="shared" si="0"/>
        <v>2.0331950208064282</v>
      </c>
      <c r="P9" s="48">
        <f t="shared" si="0"/>
        <v>153.26891589514707</v>
      </c>
      <c r="Q9" s="48">
        <f>SUM(Q4:Q8)</f>
        <v>0</v>
      </c>
      <c r="R9" s="48"/>
      <c r="S9" s="48">
        <f t="shared" si="0"/>
        <v>0</v>
      </c>
      <c r="T9" s="48">
        <f t="shared" si="0"/>
        <v>0</v>
      </c>
      <c r="U9" s="48">
        <f t="shared" si="0"/>
        <v>0</v>
      </c>
      <c r="V9" s="48">
        <f>SUM(V4:V8)</f>
        <v>0</v>
      </c>
      <c r="W9" s="48">
        <f>SUM(W4:W8)</f>
        <v>0</v>
      </c>
      <c r="X9" s="48"/>
      <c r="Y9" s="48">
        <f t="shared" ref="Y9:AG9" si="1">SUM(Y4:Y8)</f>
        <v>0</v>
      </c>
      <c r="Z9" s="48">
        <f t="shared" si="1"/>
        <v>0</v>
      </c>
      <c r="AA9" s="48">
        <f t="shared" si="1"/>
        <v>0</v>
      </c>
      <c r="AB9" s="48">
        <f t="shared" ref="AB9:AB23" si="2">AA9+Z9+Y9</f>
        <v>0</v>
      </c>
      <c r="AC9" s="48">
        <f>SUM(AC4:AC8)</f>
        <v>0</v>
      </c>
      <c r="AD9" s="48"/>
      <c r="AE9" s="99">
        <f t="shared" si="1"/>
        <v>0</v>
      </c>
      <c r="AF9" s="99">
        <f t="shared" si="1"/>
        <v>0</v>
      </c>
      <c r="AG9" s="99">
        <f t="shared" si="1"/>
        <v>0</v>
      </c>
      <c r="AH9" s="99">
        <f>SUM(AH4:AH8)</f>
        <v>0</v>
      </c>
      <c r="AI9" s="50" t="e">
        <f>(AH9-AB9)/AB9</f>
        <v>#DIV/0!</v>
      </c>
      <c r="AJ9" s="98"/>
    </row>
    <row r="10" spans="2:36" ht="16.2" x14ac:dyDescent="0.25">
      <c r="B10" s="34">
        <v>6</v>
      </c>
      <c r="C10" s="35" t="s">
        <v>35</v>
      </c>
      <c r="D10" s="37">
        <v>13</v>
      </c>
      <c r="E10" s="37">
        <v>3.5059</v>
      </c>
      <c r="F10" s="37">
        <v>3.7080350266693287</v>
      </c>
      <c r="G10" s="37">
        <v>14</v>
      </c>
      <c r="H10" s="37">
        <v>0</v>
      </c>
      <c r="I10" s="37">
        <v>0</v>
      </c>
      <c r="J10" s="37">
        <v>14</v>
      </c>
      <c r="K10" s="37">
        <v>3.5059</v>
      </c>
      <c r="L10" s="37">
        <v>3.42</v>
      </c>
      <c r="M10" s="37">
        <v>13.1472</v>
      </c>
      <c r="N10" s="37">
        <v>0</v>
      </c>
      <c r="O10" s="37">
        <v>0</v>
      </c>
      <c r="P10" s="37">
        <v>13.433999999999999</v>
      </c>
      <c r="Q10" s="37"/>
      <c r="R10" s="37"/>
      <c r="S10" s="37"/>
      <c r="T10" s="37"/>
      <c r="U10" s="37"/>
      <c r="V10" s="37"/>
      <c r="W10" s="37"/>
      <c r="X10" s="37"/>
      <c r="Y10" s="37"/>
      <c r="Z10" s="67"/>
      <c r="AA10" s="67"/>
      <c r="AB10" s="67"/>
      <c r="AC10" s="67"/>
      <c r="AD10" s="67"/>
      <c r="AE10" s="67"/>
      <c r="AF10" s="67"/>
      <c r="AG10" s="67"/>
      <c r="AH10" s="67"/>
      <c r="AI10" s="42"/>
      <c r="AJ10" s="98"/>
    </row>
    <row r="11" spans="2:36" ht="16.2" x14ac:dyDescent="0.25">
      <c r="B11" s="34">
        <v>7</v>
      </c>
      <c r="C11" s="46" t="s">
        <v>36</v>
      </c>
      <c r="D11" s="37">
        <v>33.596127841105371</v>
      </c>
      <c r="E11" s="37">
        <v>9.0841999999999992</v>
      </c>
      <c r="F11" s="37">
        <v>3.8639999999999999</v>
      </c>
      <c r="G11" s="37">
        <v>35.701507531643777</v>
      </c>
      <c r="H11" s="37">
        <v>1.9279299999999995</v>
      </c>
      <c r="I11" s="37">
        <v>0</v>
      </c>
      <c r="J11" s="37">
        <v>37.629437531643774</v>
      </c>
      <c r="K11" s="37">
        <v>8.0386298049744109</v>
      </c>
      <c r="L11" s="37">
        <v>3.7</v>
      </c>
      <c r="M11" s="37">
        <v>29.154618536343786</v>
      </c>
      <c r="N11" s="37">
        <v>0.3024</v>
      </c>
      <c r="O11" s="37">
        <v>0.78766868991246952</v>
      </c>
      <c r="P11" s="37">
        <v>30.24468722625625</v>
      </c>
      <c r="Q11" s="37"/>
      <c r="R11" s="37"/>
      <c r="S11" s="37"/>
      <c r="T11" s="37"/>
      <c r="U11" s="37"/>
      <c r="V11" s="37"/>
      <c r="W11" s="37"/>
      <c r="X11" s="37"/>
      <c r="Y11" s="37"/>
      <c r="Z11" s="67"/>
      <c r="AA11" s="67"/>
      <c r="AB11" s="67"/>
      <c r="AC11" s="67"/>
      <c r="AD11" s="67"/>
      <c r="AE11" s="67"/>
      <c r="AF11" s="67"/>
      <c r="AG11" s="67"/>
      <c r="AH11" s="67"/>
      <c r="AI11" s="42"/>
      <c r="AJ11" s="98"/>
    </row>
    <row r="12" spans="2:36" s="51" customFormat="1" ht="16.2" x14ac:dyDescent="0.25">
      <c r="B12" s="640" t="s">
        <v>60</v>
      </c>
      <c r="C12" s="641"/>
      <c r="D12" s="48">
        <f>SUM(D10:D11)</f>
        <v>46.596127841105371</v>
      </c>
      <c r="E12" s="48">
        <f t="shared" ref="E12:AA12" si="3">SUM(E10:E11)</f>
        <v>12.5901</v>
      </c>
      <c r="F12" s="48"/>
      <c r="G12" s="48">
        <f t="shared" si="3"/>
        <v>49.701507531643777</v>
      </c>
      <c r="H12" s="48">
        <f t="shared" si="3"/>
        <v>1.9279299999999995</v>
      </c>
      <c r="I12" s="48">
        <f t="shared" si="3"/>
        <v>0</v>
      </c>
      <c r="J12" s="48">
        <f t="shared" si="3"/>
        <v>51.629437531643774</v>
      </c>
      <c r="K12" s="48">
        <f t="shared" si="3"/>
        <v>11.544529804974411</v>
      </c>
      <c r="L12" s="48"/>
      <c r="M12" s="48">
        <f t="shared" si="3"/>
        <v>42.301818536343788</v>
      </c>
      <c r="N12" s="48">
        <f t="shared" si="3"/>
        <v>0.3024</v>
      </c>
      <c r="O12" s="48">
        <f t="shared" si="3"/>
        <v>0.78766868991246952</v>
      </c>
      <c r="P12" s="48">
        <f>SUM(P10:P11)</f>
        <v>43.678687226256251</v>
      </c>
      <c r="Q12" s="48">
        <f t="shared" si="3"/>
        <v>0</v>
      </c>
      <c r="R12" s="48"/>
      <c r="S12" s="48">
        <f t="shared" si="3"/>
        <v>0</v>
      </c>
      <c r="T12" s="48">
        <f t="shared" si="3"/>
        <v>0</v>
      </c>
      <c r="U12" s="48">
        <f t="shared" si="3"/>
        <v>0</v>
      </c>
      <c r="V12" s="48">
        <f t="shared" si="3"/>
        <v>0</v>
      </c>
      <c r="W12" s="48">
        <f t="shared" si="3"/>
        <v>0</v>
      </c>
      <c r="X12" s="48"/>
      <c r="Y12" s="48">
        <f t="shared" si="3"/>
        <v>0</v>
      </c>
      <c r="Z12" s="48">
        <f t="shared" si="3"/>
        <v>0</v>
      </c>
      <c r="AA12" s="48">
        <f t="shared" si="3"/>
        <v>0</v>
      </c>
      <c r="AB12" s="48">
        <f t="shared" si="2"/>
        <v>0</v>
      </c>
      <c r="AC12" s="48">
        <f>SUM(AC10:AC11)</f>
        <v>0</v>
      </c>
      <c r="AD12" s="48"/>
      <c r="AE12" s="99">
        <f t="shared" ref="AE12:AG12" si="4">SUM(AE10:AE11)</f>
        <v>0</v>
      </c>
      <c r="AF12" s="99">
        <f t="shared" si="4"/>
        <v>0</v>
      </c>
      <c r="AG12" s="99">
        <f t="shared" si="4"/>
        <v>0</v>
      </c>
      <c r="AH12" s="99">
        <f>SUM(AH10:AH11)</f>
        <v>0</v>
      </c>
      <c r="AI12" s="50" t="e">
        <f t="shared" ref="AI12:AI29" si="5">(AH12-AB12)/AB12</f>
        <v>#DIV/0!</v>
      </c>
      <c r="AJ12" s="98"/>
    </row>
    <row r="13" spans="2:36" ht="16.2" x14ac:dyDescent="0.25">
      <c r="B13" s="34">
        <v>8</v>
      </c>
      <c r="C13" s="46" t="s">
        <v>19</v>
      </c>
      <c r="D13" s="37">
        <v>36.919977202072523</v>
      </c>
      <c r="E13" s="37">
        <v>10.198499999999999</v>
      </c>
      <c r="F13" s="37">
        <v>3.8639999999999999</v>
      </c>
      <c r="G13" s="37">
        <v>40.080780317636012</v>
      </c>
      <c r="H13" s="37">
        <v>0</v>
      </c>
      <c r="I13" s="37">
        <v>0</v>
      </c>
      <c r="J13" s="37">
        <v>40.080780317636012</v>
      </c>
      <c r="K13" s="37">
        <v>10.451953390553401</v>
      </c>
      <c r="L13" s="37">
        <v>3.7</v>
      </c>
      <c r="M13" s="37">
        <v>37.907295329443258</v>
      </c>
      <c r="N13" s="37">
        <v>0</v>
      </c>
      <c r="O13" s="37">
        <v>1.0241392667527622</v>
      </c>
      <c r="P13" s="37">
        <v>38.931434596196013</v>
      </c>
      <c r="Q13" s="37"/>
      <c r="R13" s="37"/>
      <c r="S13" s="37"/>
      <c r="T13" s="37"/>
      <c r="U13" s="37"/>
      <c r="V13" s="37"/>
      <c r="W13" s="37"/>
      <c r="X13" s="37"/>
      <c r="Y13" s="37"/>
      <c r="Z13" s="67"/>
      <c r="AA13" s="67"/>
      <c r="AB13" s="67"/>
      <c r="AC13" s="67"/>
      <c r="AD13" s="67"/>
      <c r="AE13" s="67"/>
      <c r="AF13" s="37"/>
      <c r="AG13" s="67"/>
      <c r="AH13" s="67"/>
      <c r="AI13" s="39"/>
      <c r="AJ13" s="98"/>
    </row>
    <row r="14" spans="2:36" ht="16.2" x14ac:dyDescent="0.25">
      <c r="B14" s="34">
        <v>9</v>
      </c>
      <c r="C14" s="35" t="s">
        <v>61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/>
      <c r="R14" s="37"/>
      <c r="S14" s="37"/>
      <c r="T14" s="37"/>
      <c r="U14" s="37"/>
      <c r="V14" s="37"/>
      <c r="W14" s="37"/>
      <c r="X14" s="37"/>
      <c r="Y14" s="37"/>
      <c r="Z14" s="67"/>
      <c r="AA14" s="67"/>
      <c r="AB14" s="67"/>
      <c r="AC14" s="67"/>
      <c r="AD14" s="67"/>
      <c r="AE14" s="67"/>
      <c r="AF14" s="67"/>
      <c r="AG14" s="67"/>
      <c r="AH14" s="67"/>
      <c r="AI14" s="42"/>
      <c r="AJ14" s="98"/>
    </row>
    <row r="15" spans="2:36" s="51" customFormat="1" ht="16.2" x14ac:dyDescent="0.25">
      <c r="B15" s="640" t="s">
        <v>62</v>
      </c>
      <c r="C15" s="641"/>
      <c r="D15" s="48">
        <f>SUM(D13:D14)</f>
        <v>36.919977202072523</v>
      </c>
      <c r="E15" s="48">
        <f t="shared" ref="E15:AA15" si="6">SUM(E13:E14)</f>
        <v>10.198499999999999</v>
      </c>
      <c r="F15" s="48"/>
      <c r="G15" s="48">
        <f t="shared" si="6"/>
        <v>40.080780317636012</v>
      </c>
      <c r="H15" s="48">
        <f t="shared" si="6"/>
        <v>0</v>
      </c>
      <c r="I15" s="48">
        <f t="shared" si="6"/>
        <v>0</v>
      </c>
      <c r="J15" s="48">
        <f t="shared" si="6"/>
        <v>40.080780317636012</v>
      </c>
      <c r="K15" s="48">
        <f t="shared" si="6"/>
        <v>10.451953390553401</v>
      </c>
      <c r="L15" s="48"/>
      <c r="M15" s="48">
        <f t="shared" si="6"/>
        <v>37.907295329443258</v>
      </c>
      <c r="N15" s="48">
        <f t="shared" si="6"/>
        <v>0</v>
      </c>
      <c r="O15" s="48">
        <f t="shared" si="6"/>
        <v>1.0241392667527622</v>
      </c>
      <c r="P15" s="48">
        <f t="shared" si="6"/>
        <v>38.931434596196013</v>
      </c>
      <c r="Q15" s="48">
        <f t="shared" si="6"/>
        <v>0</v>
      </c>
      <c r="R15" s="48"/>
      <c r="S15" s="48">
        <f t="shared" si="6"/>
        <v>0</v>
      </c>
      <c r="T15" s="48">
        <f t="shared" si="6"/>
        <v>0</v>
      </c>
      <c r="U15" s="48">
        <f t="shared" si="6"/>
        <v>0</v>
      </c>
      <c r="V15" s="48">
        <f t="shared" si="6"/>
        <v>0</v>
      </c>
      <c r="W15" s="48">
        <f t="shared" si="6"/>
        <v>0</v>
      </c>
      <c r="X15" s="48"/>
      <c r="Y15" s="48">
        <f t="shared" si="6"/>
        <v>0</v>
      </c>
      <c r="Z15" s="48">
        <f t="shared" si="6"/>
        <v>0</v>
      </c>
      <c r="AA15" s="48">
        <f t="shared" si="6"/>
        <v>0</v>
      </c>
      <c r="AB15" s="48">
        <f t="shared" si="2"/>
        <v>0</v>
      </c>
      <c r="AC15" s="48">
        <f>SUM(AC13:AC14)</f>
        <v>0</v>
      </c>
      <c r="AD15" s="48"/>
      <c r="AE15" s="99">
        <f t="shared" ref="AE15:AG15" si="7">SUM(AE13:AE14)</f>
        <v>0</v>
      </c>
      <c r="AF15" s="99">
        <f t="shared" si="7"/>
        <v>0</v>
      </c>
      <c r="AG15" s="99">
        <f t="shared" si="7"/>
        <v>0</v>
      </c>
      <c r="AH15" s="99">
        <f>SUM(AH13:AH14)</f>
        <v>0</v>
      </c>
      <c r="AI15" s="50" t="e">
        <f t="shared" si="5"/>
        <v>#DIV/0!</v>
      </c>
      <c r="AJ15" s="98"/>
    </row>
    <row r="16" spans="2:36" ht="16.2" x14ac:dyDescent="0.25">
      <c r="B16" s="34">
        <v>10</v>
      </c>
      <c r="C16" s="35" t="s">
        <v>63</v>
      </c>
      <c r="D16" s="37">
        <v>17.861955999999999</v>
      </c>
      <c r="E16" s="37">
        <v>3.4863599999999999</v>
      </c>
      <c r="F16" s="37">
        <v>4.5003958283137715</v>
      </c>
      <c r="G16" s="37">
        <v>17.64</v>
      </c>
      <c r="H16" s="37">
        <v>0.5</v>
      </c>
      <c r="I16" s="37">
        <v>0</v>
      </c>
      <c r="J16" s="37">
        <v>18.14</v>
      </c>
      <c r="K16" s="37">
        <v>3.4863599999999999</v>
      </c>
      <c r="L16" s="37">
        <v>4.45</v>
      </c>
      <c r="M16" s="37">
        <v>16.16189066666664</v>
      </c>
      <c r="N16" s="37">
        <v>0.39360000000000001</v>
      </c>
      <c r="O16" s="37">
        <v>1.1580288000000001</v>
      </c>
      <c r="P16" s="37">
        <v>17.713519466666639</v>
      </c>
      <c r="Q16" s="37"/>
      <c r="R16" s="37"/>
      <c r="S16" s="37"/>
      <c r="T16" s="37"/>
      <c r="U16" s="37"/>
      <c r="V16" s="37"/>
      <c r="W16" s="37"/>
      <c r="X16" s="37"/>
      <c r="Y16" s="53"/>
      <c r="Z16" s="78"/>
      <c r="AA16" s="78"/>
      <c r="AB16" s="78"/>
      <c r="AC16" s="78"/>
      <c r="AD16" s="78"/>
      <c r="AE16" s="78"/>
      <c r="AF16" s="67"/>
      <c r="AG16" s="67"/>
      <c r="AH16" s="67"/>
      <c r="AI16" s="52"/>
      <c r="AJ16" s="98"/>
    </row>
    <row r="17" spans="2:39" ht="16.2" x14ac:dyDescent="0.25">
      <c r="B17" s="34">
        <v>11</v>
      </c>
      <c r="C17" s="35" t="s">
        <v>64</v>
      </c>
      <c r="D17" s="37">
        <v>0.31900000000000001</v>
      </c>
      <c r="E17" s="37">
        <v>0</v>
      </c>
      <c r="F17" s="37">
        <v>0</v>
      </c>
      <c r="G17" s="37">
        <v>0</v>
      </c>
      <c r="H17" s="37">
        <v>1</v>
      </c>
      <c r="I17" s="37">
        <v>0</v>
      </c>
      <c r="J17" s="37">
        <v>1</v>
      </c>
      <c r="K17" s="37">
        <v>0</v>
      </c>
      <c r="L17" s="37">
        <v>0</v>
      </c>
      <c r="M17" s="37">
        <v>0</v>
      </c>
      <c r="N17" s="37">
        <v>0.34583999999999998</v>
      </c>
      <c r="O17" s="37">
        <v>0</v>
      </c>
      <c r="P17" s="37">
        <v>0.34583999999999998</v>
      </c>
      <c r="Q17" s="37"/>
      <c r="R17" s="37"/>
      <c r="S17" s="37"/>
      <c r="T17" s="37"/>
      <c r="U17" s="37"/>
      <c r="V17" s="37"/>
      <c r="W17" s="37"/>
      <c r="X17" s="37"/>
      <c r="Y17" s="37"/>
      <c r="Z17" s="67"/>
      <c r="AA17" s="67"/>
      <c r="AB17" s="67"/>
      <c r="AC17" s="67"/>
      <c r="AD17" s="67"/>
      <c r="AE17" s="67"/>
      <c r="AF17" s="67"/>
      <c r="AG17" s="67"/>
      <c r="AH17" s="67"/>
      <c r="AI17" s="42"/>
      <c r="AJ17" s="98"/>
    </row>
    <row r="18" spans="2:39" ht="16.2" x14ac:dyDescent="0.25">
      <c r="B18" s="34">
        <v>12</v>
      </c>
      <c r="C18" s="35" t="s">
        <v>65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/>
      <c r="R18" s="37"/>
      <c r="S18" s="37"/>
      <c r="T18" s="37"/>
      <c r="U18" s="37"/>
      <c r="V18" s="37"/>
      <c r="W18" s="37"/>
      <c r="X18" s="37"/>
      <c r="Y18" s="37"/>
      <c r="Z18" s="67"/>
      <c r="AA18" s="67"/>
      <c r="AB18" s="67"/>
      <c r="AC18" s="67"/>
      <c r="AD18" s="67"/>
      <c r="AE18" s="67"/>
      <c r="AF18" s="67"/>
      <c r="AG18" s="67"/>
      <c r="AH18" s="67"/>
      <c r="AI18" s="42"/>
      <c r="AJ18" s="98"/>
    </row>
    <row r="19" spans="2:39" s="51" customFormat="1" ht="16.2" x14ac:dyDescent="0.25">
      <c r="B19" s="640" t="s">
        <v>66</v>
      </c>
      <c r="C19" s="641"/>
      <c r="D19" s="48">
        <f>SUM(D16:D18)</f>
        <v>18.180955999999998</v>
      </c>
      <c r="E19" s="48">
        <f t="shared" ref="E19:AA19" si="8">SUM(E16:E18)</f>
        <v>3.4863599999999999</v>
      </c>
      <c r="F19" s="48"/>
      <c r="G19" s="48">
        <f t="shared" si="8"/>
        <v>17.64</v>
      </c>
      <c r="H19" s="48">
        <f t="shared" si="8"/>
        <v>1.5</v>
      </c>
      <c r="I19" s="48">
        <f t="shared" si="8"/>
        <v>0</v>
      </c>
      <c r="J19" s="48">
        <f t="shared" si="8"/>
        <v>19.14</v>
      </c>
      <c r="K19" s="48">
        <f t="shared" si="8"/>
        <v>3.4863599999999999</v>
      </c>
      <c r="L19" s="48"/>
      <c r="M19" s="48">
        <f t="shared" si="8"/>
        <v>16.16189066666664</v>
      </c>
      <c r="N19" s="48">
        <f t="shared" si="8"/>
        <v>0.73943999999999999</v>
      </c>
      <c r="O19" s="48">
        <f t="shared" si="8"/>
        <v>1.1580288000000001</v>
      </c>
      <c r="P19" s="48">
        <f t="shared" si="8"/>
        <v>18.059359466666638</v>
      </c>
      <c r="Q19" s="48">
        <f t="shared" si="8"/>
        <v>0</v>
      </c>
      <c r="R19" s="48"/>
      <c r="S19" s="48">
        <f t="shared" si="8"/>
        <v>0</v>
      </c>
      <c r="T19" s="48">
        <f t="shared" si="8"/>
        <v>0</v>
      </c>
      <c r="U19" s="48">
        <f t="shared" si="8"/>
        <v>0</v>
      </c>
      <c r="V19" s="48">
        <f t="shared" si="8"/>
        <v>0</v>
      </c>
      <c r="W19" s="48">
        <f t="shared" si="8"/>
        <v>0</v>
      </c>
      <c r="X19" s="48"/>
      <c r="Y19" s="48">
        <f t="shared" si="8"/>
        <v>0</v>
      </c>
      <c r="Z19" s="48">
        <f t="shared" si="8"/>
        <v>0</v>
      </c>
      <c r="AA19" s="48">
        <f t="shared" si="8"/>
        <v>0</v>
      </c>
      <c r="AB19" s="48">
        <f t="shared" si="2"/>
        <v>0</v>
      </c>
      <c r="AC19" s="48">
        <f>SUM(AC16:AC18)</f>
        <v>0</v>
      </c>
      <c r="AD19" s="48"/>
      <c r="AE19" s="99">
        <f t="shared" ref="AE19:AG19" si="9">SUM(AE16:AE18)</f>
        <v>0</v>
      </c>
      <c r="AF19" s="99">
        <f t="shared" si="9"/>
        <v>0</v>
      </c>
      <c r="AG19" s="99">
        <f t="shared" si="9"/>
        <v>0</v>
      </c>
      <c r="AH19" s="99">
        <f>SUM(AH16:AH18)</f>
        <v>0</v>
      </c>
      <c r="AI19" s="50" t="e">
        <f t="shared" si="5"/>
        <v>#DIV/0!</v>
      </c>
      <c r="AJ19" s="98"/>
    </row>
    <row r="20" spans="2:39" ht="16.2" x14ac:dyDescent="0.25">
      <c r="B20" s="34">
        <v>13</v>
      </c>
      <c r="C20" s="35" t="s">
        <v>38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/>
      <c r="R20" s="37"/>
      <c r="S20" s="37"/>
      <c r="T20" s="37"/>
      <c r="U20" s="37"/>
      <c r="V20" s="37"/>
      <c r="W20" s="37"/>
      <c r="X20" s="37"/>
      <c r="Y20" s="37"/>
      <c r="Z20" s="67"/>
      <c r="AA20" s="67"/>
      <c r="AB20" s="67"/>
      <c r="AC20" s="67"/>
      <c r="AD20" s="67"/>
      <c r="AE20" s="67"/>
      <c r="AF20" s="67"/>
      <c r="AG20" s="67"/>
      <c r="AH20" s="67"/>
      <c r="AI20" s="42"/>
      <c r="AJ20" s="98"/>
    </row>
    <row r="21" spans="2:39" ht="16.2" x14ac:dyDescent="0.25">
      <c r="B21" s="34">
        <v>14</v>
      </c>
      <c r="C21" s="35" t="s">
        <v>67</v>
      </c>
      <c r="D21" s="37">
        <v>0.48599999999999999</v>
      </c>
      <c r="E21" s="37">
        <v>2.21</v>
      </c>
      <c r="F21" s="37">
        <v>7.2398190045200002</v>
      </c>
      <c r="G21" s="37">
        <v>15.9999999999892</v>
      </c>
      <c r="H21" s="37">
        <v>0</v>
      </c>
      <c r="I21" s="37">
        <v>0</v>
      </c>
      <c r="J21" s="37">
        <v>15.9999999999892</v>
      </c>
      <c r="K21" s="37">
        <v>0</v>
      </c>
      <c r="L21" s="37">
        <v>0</v>
      </c>
      <c r="M21" s="37">
        <v>0</v>
      </c>
      <c r="N21" s="37">
        <v>1.2452400000000001</v>
      </c>
      <c r="O21" s="37">
        <v>0</v>
      </c>
      <c r="P21" s="37">
        <v>1.2452400000000001</v>
      </c>
      <c r="Q21" s="37"/>
      <c r="R21" s="37"/>
      <c r="S21" s="37"/>
      <c r="T21" s="37"/>
      <c r="U21" s="37"/>
      <c r="V21" s="37"/>
      <c r="W21" s="37"/>
      <c r="X21" s="37"/>
      <c r="Y21" s="37"/>
      <c r="Z21" s="67"/>
      <c r="AA21" s="67"/>
      <c r="AB21" s="67"/>
      <c r="AC21" s="37"/>
      <c r="AD21" s="37"/>
      <c r="AE21" s="37"/>
      <c r="AF21" s="67"/>
      <c r="AG21" s="37"/>
      <c r="AH21" s="69"/>
      <c r="AI21" s="52"/>
      <c r="AJ21" s="98"/>
    </row>
    <row r="22" spans="2:39" ht="16.2" x14ac:dyDescent="0.25">
      <c r="B22" s="34">
        <v>15</v>
      </c>
      <c r="C22" s="35" t="s">
        <v>68</v>
      </c>
      <c r="D22" s="37">
        <v>38.883290000000002</v>
      </c>
      <c r="E22" s="37">
        <v>8.7117000000000004</v>
      </c>
      <c r="F22" s="37">
        <v>3.7</v>
      </c>
      <c r="G22" s="37">
        <v>32.233290000000004</v>
      </c>
      <c r="H22" s="37">
        <v>9.5</v>
      </c>
      <c r="I22" s="37">
        <v>0</v>
      </c>
      <c r="J22" s="37">
        <v>41.733290000000004</v>
      </c>
      <c r="K22" s="37">
        <v>8.7117000000000004</v>
      </c>
      <c r="L22" s="37">
        <v>3.8109999999999999</v>
      </c>
      <c r="M22" s="37">
        <v>33.200288700000002</v>
      </c>
      <c r="N22" s="37">
        <v>10.673950799999998</v>
      </c>
      <c r="O22" s="37">
        <v>0</v>
      </c>
      <c r="P22" s="37">
        <v>43.874239500000002</v>
      </c>
      <c r="Q22" s="37"/>
      <c r="R22" s="37"/>
      <c r="S22" s="37"/>
      <c r="T22" s="37"/>
      <c r="U22" s="37"/>
      <c r="V22" s="37"/>
      <c r="W22" s="37"/>
      <c r="X22" s="37"/>
      <c r="Y22" s="37"/>
      <c r="Z22" s="67"/>
      <c r="AA22" s="67"/>
      <c r="AB22" s="67"/>
      <c r="AC22" s="67"/>
      <c r="AD22" s="67"/>
      <c r="AE22" s="67"/>
      <c r="AF22" s="67"/>
      <c r="AG22" s="37"/>
      <c r="AH22" s="67"/>
      <c r="AI22" s="39"/>
      <c r="AJ22" s="98"/>
      <c r="AK22" s="98" t="e">
        <f>AH22-#REF!</f>
        <v>#REF!</v>
      </c>
    </row>
    <row r="23" spans="2:39" s="51" customFormat="1" ht="16.2" x14ac:dyDescent="0.25">
      <c r="B23" s="640" t="s">
        <v>69</v>
      </c>
      <c r="C23" s="641"/>
      <c r="D23" s="48">
        <f>SUM(D20:D22)</f>
        <v>39.369289999999999</v>
      </c>
      <c r="E23" s="48">
        <f t="shared" ref="E23:AA23" si="10">SUM(E20:E22)</f>
        <v>10.921700000000001</v>
      </c>
      <c r="F23" s="48"/>
      <c r="G23" s="48">
        <f>SUM(G20:G22)</f>
        <v>48.233289999989204</v>
      </c>
      <c r="H23" s="48">
        <f t="shared" si="10"/>
        <v>9.5</v>
      </c>
      <c r="I23" s="48">
        <f t="shared" si="10"/>
        <v>0</v>
      </c>
      <c r="J23" s="48">
        <f t="shared" si="10"/>
        <v>57.733289999989204</v>
      </c>
      <c r="K23" s="48">
        <f t="shared" si="10"/>
        <v>8.7117000000000004</v>
      </c>
      <c r="L23" s="48"/>
      <c r="M23" s="48">
        <f t="shared" si="10"/>
        <v>33.200288700000002</v>
      </c>
      <c r="N23" s="48">
        <f t="shared" si="10"/>
        <v>11.919190799999999</v>
      </c>
      <c r="O23" s="48">
        <f t="shared" si="10"/>
        <v>0</v>
      </c>
      <c r="P23" s="48">
        <f t="shared" si="10"/>
        <v>45.119479500000004</v>
      </c>
      <c r="Q23" s="48">
        <f t="shared" si="10"/>
        <v>0</v>
      </c>
      <c r="R23" s="48"/>
      <c r="S23" s="48">
        <f t="shared" si="10"/>
        <v>0</v>
      </c>
      <c r="T23" s="48">
        <f t="shared" si="10"/>
        <v>0</v>
      </c>
      <c r="U23" s="48">
        <f t="shared" si="10"/>
        <v>0</v>
      </c>
      <c r="V23" s="48">
        <f t="shared" si="10"/>
        <v>0</v>
      </c>
      <c r="W23" s="48">
        <f t="shared" si="10"/>
        <v>0</v>
      </c>
      <c r="X23" s="48"/>
      <c r="Y23" s="48">
        <f t="shared" si="10"/>
        <v>0</v>
      </c>
      <c r="Z23" s="48">
        <f t="shared" si="10"/>
        <v>0</v>
      </c>
      <c r="AA23" s="48">
        <f t="shared" si="10"/>
        <v>0</v>
      </c>
      <c r="AB23" s="48">
        <f t="shared" si="2"/>
        <v>0</v>
      </c>
      <c r="AC23" s="48">
        <f>SUM(AC20:AC22)</f>
        <v>0</v>
      </c>
      <c r="AD23" s="48"/>
      <c r="AE23" s="99">
        <f t="shared" ref="AE23:AG23" si="11">SUM(AE20:AE22)</f>
        <v>0</v>
      </c>
      <c r="AF23" s="99">
        <f t="shared" si="11"/>
        <v>0</v>
      </c>
      <c r="AG23" s="99">
        <f t="shared" si="11"/>
        <v>0</v>
      </c>
      <c r="AH23" s="99">
        <f>SUM(AH20:AH22)</f>
        <v>0</v>
      </c>
      <c r="AI23" s="50" t="e">
        <f t="shared" si="5"/>
        <v>#DIV/0!</v>
      </c>
      <c r="AJ23" s="98"/>
    </row>
    <row r="24" spans="2:39" ht="16.2" x14ac:dyDescent="0.25">
      <c r="B24" s="34">
        <v>16</v>
      </c>
      <c r="C24" s="35" t="s">
        <v>70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/>
      <c r="R24" s="37"/>
      <c r="S24" s="37"/>
      <c r="T24" s="37"/>
      <c r="U24" s="37"/>
      <c r="V24" s="37"/>
      <c r="W24" s="37"/>
      <c r="X24" s="37"/>
      <c r="Y24" s="37"/>
      <c r="Z24" s="67"/>
      <c r="AA24" s="67"/>
      <c r="AB24" s="67"/>
      <c r="AC24" s="37"/>
      <c r="AD24" s="37"/>
      <c r="AE24" s="37"/>
      <c r="AF24" s="37"/>
      <c r="AG24" s="37"/>
      <c r="AH24" s="67"/>
      <c r="AI24" s="42"/>
      <c r="AJ24" s="98"/>
    </row>
    <row r="25" spans="2:39" ht="16.2" x14ac:dyDescent="0.25">
      <c r="B25" s="34">
        <v>17</v>
      </c>
      <c r="C25" s="35" t="s">
        <v>71</v>
      </c>
      <c r="D25" s="37">
        <v>14.850439999999999</v>
      </c>
      <c r="E25" s="37">
        <v>3.2907999999999999</v>
      </c>
      <c r="F25" s="37">
        <v>4.3</v>
      </c>
      <c r="G25" s="37">
        <v>14.15044</v>
      </c>
      <c r="H25" s="37">
        <v>0.6</v>
      </c>
      <c r="I25" s="37">
        <v>0</v>
      </c>
      <c r="J25" s="37">
        <v>14.750439999999999</v>
      </c>
      <c r="K25" s="37">
        <v>3.2907999999999999</v>
      </c>
      <c r="L25" s="37">
        <v>4.25</v>
      </c>
      <c r="M25" s="37">
        <v>13.9992</v>
      </c>
      <c r="N25" s="37">
        <v>0</v>
      </c>
      <c r="O25" s="37">
        <v>0</v>
      </c>
      <c r="P25" s="37">
        <v>13.9992</v>
      </c>
      <c r="Q25" s="37"/>
      <c r="R25" s="37"/>
      <c r="S25" s="37"/>
      <c r="T25" s="37"/>
      <c r="U25" s="37"/>
      <c r="V25" s="37"/>
      <c r="W25" s="37"/>
      <c r="X25" s="37"/>
      <c r="Y25" s="37"/>
      <c r="Z25" s="67"/>
      <c r="AA25" s="67"/>
      <c r="AB25" s="67"/>
      <c r="AC25" s="37"/>
      <c r="AD25" s="67"/>
      <c r="AE25" s="67"/>
      <c r="AF25" s="37"/>
      <c r="AG25" s="67"/>
      <c r="AH25" s="67"/>
      <c r="AI25" s="42"/>
      <c r="AJ25" s="98"/>
    </row>
    <row r="26" spans="2:39" ht="16.2" x14ac:dyDescent="0.25">
      <c r="B26" s="34">
        <v>18</v>
      </c>
      <c r="C26" s="46" t="s">
        <v>72</v>
      </c>
      <c r="D26" s="37">
        <v>1.6636380080598734</v>
      </c>
      <c r="E26" s="37">
        <v>0.45950000000000002</v>
      </c>
      <c r="F26" s="37">
        <v>3.8639999999999999</v>
      </c>
      <c r="G26" s="37">
        <v>1.8058661691065003</v>
      </c>
      <c r="H26" s="37">
        <v>0</v>
      </c>
      <c r="I26" s="37">
        <v>0</v>
      </c>
      <c r="J26" s="37">
        <v>1.8058661691065003</v>
      </c>
      <c r="K26" s="37">
        <v>0.41125520221456929</v>
      </c>
      <c r="L26" s="37">
        <v>3.7</v>
      </c>
      <c r="M26" s="37">
        <v>1.4915462998722933</v>
      </c>
      <c r="N26" s="37">
        <v>0</v>
      </c>
      <c r="O26" s="37">
        <v>4.0297022528339756E-2</v>
      </c>
      <c r="P26" s="37">
        <v>1.5318433224006327</v>
      </c>
      <c r="Q26" s="37"/>
      <c r="R26" s="37"/>
      <c r="S26" s="37"/>
      <c r="T26" s="37"/>
      <c r="U26" s="37"/>
      <c r="V26" s="37"/>
      <c r="W26" s="37"/>
      <c r="X26" s="37"/>
      <c r="Y26" s="37"/>
      <c r="Z26" s="67"/>
      <c r="AA26" s="67"/>
      <c r="AB26" s="67"/>
      <c r="AC26" s="67"/>
      <c r="AD26" s="67"/>
      <c r="AE26" s="67"/>
      <c r="AF26" s="37"/>
      <c r="AG26" s="67"/>
      <c r="AH26" s="67"/>
      <c r="AI26" s="42"/>
      <c r="AJ26" s="98"/>
    </row>
    <row r="27" spans="2:39" ht="16.2" x14ac:dyDescent="0.25">
      <c r="B27" s="34">
        <v>19</v>
      </c>
      <c r="C27" s="35" t="s">
        <v>73</v>
      </c>
      <c r="D27" s="37">
        <v>4.7899999999999991</v>
      </c>
      <c r="E27" s="37">
        <v>0</v>
      </c>
      <c r="F27" s="37">
        <v>0</v>
      </c>
      <c r="G27" s="37">
        <v>0</v>
      </c>
      <c r="H27" s="37">
        <v>5</v>
      </c>
      <c r="I27" s="37">
        <v>0</v>
      </c>
      <c r="J27" s="37">
        <v>5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/>
      <c r="R27" s="37"/>
      <c r="S27" s="37"/>
      <c r="T27" s="37"/>
      <c r="U27" s="37"/>
      <c r="V27" s="37"/>
      <c r="W27" s="37"/>
      <c r="X27" s="37"/>
      <c r="Y27" s="37"/>
      <c r="Z27" s="67"/>
      <c r="AA27" s="67"/>
      <c r="AB27" s="67"/>
      <c r="AC27" s="37"/>
      <c r="AD27" s="37"/>
      <c r="AE27" s="37"/>
      <c r="AF27" s="67"/>
      <c r="AG27" s="37"/>
      <c r="AH27" s="67"/>
      <c r="AI27" s="42"/>
      <c r="AJ27" s="98"/>
    </row>
    <row r="28" spans="2:39" ht="16.2" x14ac:dyDescent="0.25">
      <c r="B28" s="34">
        <v>20</v>
      </c>
      <c r="C28" s="35" t="s">
        <v>74</v>
      </c>
      <c r="D28" s="37">
        <v>0</v>
      </c>
      <c r="E28" s="37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/>
      <c r="R28" s="37"/>
      <c r="S28" s="37"/>
      <c r="T28" s="37"/>
      <c r="U28" s="37"/>
      <c r="V28" s="37"/>
      <c r="W28" s="37"/>
      <c r="X28" s="37"/>
      <c r="Y28" s="37"/>
      <c r="Z28" s="67"/>
      <c r="AA28" s="67"/>
      <c r="AB28" s="67"/>
      <c r="AC28" s="37"/>
      <c r="AD28" s="37"/>
      <c r="AE28" s="37"/>
      <c r="AF28" s="37"/>
      <c r="AG28" s="37"/>
      <c r="AH28" s="67"/>
      <c r="AI28" s="42"/>
      <c r="AJ28" s="98"/>
    </row>
    <row r="29" spans="2:39" s="51" customFormat="1" ht="16.2" x14ac:dyDescent="0.25">
      <c r="B29" s="638" t="s">
        <v>322</v>
      </c>
      <c r="C29" s="638"/>
      <c r="D29" s="100">
        <f>SUM(D24:D28)+D23+D19+D15+D12+D9</f>
        <v>311.15022374335058</v>
      </c>
      <c r="E29" s="55">
        <f>SUM(E24:E28)+E23+E19+E15+E12+E9</f>
        <v>90.027100000000004</v>
      </c>
      <c r="F29" s="48"/>
      <c r="G29" s="101">
        <f>SUM(G24:G28)+G23+G19+G15+G12+G9</f>
        <v>343.74652166617193</v>
      </c>
      <c r="H29" s="48">
        <f t="shared" ref="H29:K29" si="12">SUM(H24:H28)+H23+H19+H15+H12+H9</f>
        <v>22.827930000000002</v>
      </c>
      <c r="I29" s="48">
        <f t="shared" si="12"/>
        <v>0</v>
      </c>
      <c r="J29" s="100">
        <f t="shared" si="12"/>
        <v>365.87445166617192</v>
      </c>
      <c r="K29" s="55">
        <f t="shared" si="12"/>
        <v>85.173836599999987</v>
      </c>
      <c r="L29" s="48"/>
      <c r="M29" s="101">
        <f t="shared" ref="M29:Q29" si="13">SUM(M24:M28)+M23+M19+M15+M12+M9</f>
        <v>292.98276040666667</v>
      </c>
      <c r="N29" s="48">
        <f t="shared" si="13"/>
        <v>16.276030800000001</v>
      </c>
      <c r="O29" s="48">
        <f t="shared" si="13"/>
        <v>5.0433287999999994</v>
      </c>
      <c r="P29" s="100">
        <f t="shared" si="13"/>
        <v>314.58892000666663</v>
      </c>
      <c r="Q29" s="55">
        <f t="shared" si="13"/>
        <v>0</v>
      </c>
      <c r="R29" s="48"/>
      <c r="S29" s="102">
        <f t="shared" ref="S29:W29" si="14">SUM(S24:S28)+S23+S19+S15+S12+S9</f>
        <v>0</v>
      </c>
      <c r="T29" s="48">
        <f t="shared" si="14"/>
        <v>0</v>
      </c>
      <c r="U29" s="48">
        <f t="shared" si="14"/>
        <v>0</v>
      </c>
      <c r="V29" s="100">
        <f t="shared" si="14"/>
        <v>0</v>
      </c>
      <c r="W29" s="55">
        <f t="shared" si="14"/>
        <v>0</v>
      </c>
      <c r="X29" s="48"/>
      <c r="Y29" s="102">
        <f t="shared" ref="Y29:AC29" si="15">SUM(Y24:Y28)+Y23+Y19+Y15+Y12+Y9</f>
        <v>0</v>
      </c>
      <c r="Z29" s="48">
        <f t="shared" si="15"/>
        <v>0</v>
      </c>
      <c r="AA29" s="48">
        <f t="shared" si="15"/>
        <v>0</v>
      </c>
      <c r="AB29" s="100">
        <f t="shared" si="15"/>
        <v>0</v>
      </c>
      <c r="AC29" s="55">
        <f t="shared" si="15"/>
        <v>0</v>
      </c>
      <c r="AD29" s="48"/>
      <c r="AE29" s="102">
        <f t="shared" ref="AE29:AH29" si="16">SUM(AE24:AE28)+AE23+AE19+AE15+AE12+AE9</f>
        <v>0</v>
      </c>
      <c r="AF29" s="48">
        <f t="shared" si="16"/>
        <v>0</v>
      </c>
      <c r="AG29" s="48">
        <f t="shared" si="16"/>
        <v>0</v>
      </c>
      <c r="AH29" s="100">
        <f t="shared" si="16"/>
        <v>0</v>
      </c>
      <c r="AI29" s="50" t="e">
        <f t="shared" si="5"/>
        <v>#DIV/0!</v>
      </c>
      <c r="AJ29" s="98"/>
      <c r="AL29" s="103">
        <f>AH29-26.1</f>
        <v>-26.1</v>
      </c>
      <c r="AM29" s="51" t="e">
        <f>(AL29-AB29)/AB29</f>
        <v>#DIV/0!</v>
      </c>
    </row>
    <row r="30" spans="2:39" ht="16.2" x14ac:dyDescent="0.25">
      <c r="B30" s="34">
        <v>21</v>
      </c>
      <c r="C30" s="35" t="s">
        <v>75</v>
      </c>
      <c r="D30" s="37">
        <v>0.6</v>
      </c>
      <c r="E30" s="37">
        <v>0</v>
      </c>
      <c r="F30" s="37">
        <v>0</v>
      </c>
      <c r="G30" s="37">
        <v>0</v>
      </c>
      <c r="H30" s="37">
        <v>0.56999999999999995</v>
      </c>
      <c r="I30" s="37">
        <v>0</v>
      </c>
      <c r="J30" s="37">
        <v>0.56999999999999995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/>
      <c r="R30" s="37"/>
      <c r="S30" s="37"/>
      <c r="T30" s="37"/>
      <c r="U30" s="37"/>
      <c r="V30" s="37"/>
      <c r="W30" s="37"/>
      <c r="X30" s="37"/>
      <c r="Y30" s="37"/>
      <c r="Z30" s="67"/>
      <c r="AA30" s="67"/>
      <c r="AB30" s="67"/>
      <c r="AC30" s="37"/>
      <c r="AD30" s="37"/>
      <c r="AE30" s="37"/>
      <c r="AF30" s="37"/>
      <c r="AG30" s="37"/>
      <c r="AH30" s="67"/>
      <c r="AI30" s="42"/>
      <c r="AJ30" s="98"/>
    </row>
    <row r="31" spans="2:39" ht="16.2" x14ac:dyDescent="0.25">
      <c r="B31" s="34">
        <v>22</v>
      </c>
      <c r="C31" s="35" t="s">
        <v>76</v>
      </c>
      <c r="D31" s="37">
        <v>2.16058415</v>
      </c>
      <c r="E31" s="37">
        <v>0.35</v>
      </c>
      <c r="F31" s="37">
        <v>3.2299999999999998E-3</v>
      </c>
      <c r="G31" s="37">
        <v>1.1305E-3</v>
      </c>
      <c r="H31" s="37">
        <v>1.7</v>
      </c>
      <c r="I31" s="37">
        <v>0</v>
      </c>
      <c r="J31" s="37">
        <v>1.7011304999999999</v>
      </c>
      <c r="K31" s="37">
        <v>3.5</v>
      </c>
      <c r="L31" s="37">
        <v>3.26</v>
      </c>
      <c r="M31" s="37">
        <v>13.695120000000001</v>
      </c>
      <c r="N31" s="37">
        <v>1.7000040000000001</v>
      </c>
      <c r="O31" s="37">
        <v>0</v>
      </c>
      <c r="P31" s="67">
        <f>O31+N31+M31</f>
        <v>15.395124000000001</v>
      </c>
      <c r="Q31" s="37"/>
      <c r="R31" s="37"/>
      <c r="S31" s="37"/>
      <c r="T31" s="37"/>
      <c r="U31" s="37"/>
      <c r="V31" s="37"/>
      <c r="W31" s="37"/>
      <c r="X31" s="37"/>
      <c r="Y31" s="37"/>
      <c r="Z31" s="67"/>
      <c r="AA31" s="67"/>
      <c r="AB31" s="67"/>
      <c r="AC31" s="67"/>
      <c r="AD31" s="67"/>
      <c r="AE31" s="67"/>
      <c r="AF31" s="67"/>
      <c r="AG31" s="67"/>
      <c r="AH31" s="67"/>
      <c r="AI31" s="39"/>
      <c r="AJ31" s="98"/>
    </row>
    <row r="32" spans="2:39" ht="16.2" x14ac:dyDescent="0.25">
      <c r="B32" s="34">
        <v>23</v>
      </c>
      <c r="C32" s="35" t="s">
        <v>77</v>
      </c>
      <c r="D32" s="37">
        <v>0</v>
      </c>
      <c r="E32" s="37">
        <v>0</v>
      </c>
      <c r="F32" s="37">
        <v>0</v>
      </c>
      <c r="G32" s="37">
        <v>1</v>
      </c>
      <c r="H32" s="37">
        <v>1.8</v>
      </c>
      <c r="I32" s="37">
        <v>0</v>
      </c>
      <c r="J32" s="37">
        <v>2.8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67">
        <f>O32+N32+M32</f>
        <v>0</v>
      </c>
      <c r="Q32" s="37"/>
      <c r="R32" s="37"/>
      <c r="S32" s="37"/>
      <c r="T32" s="37"/>
      <c r="U32" s="37"/>
      <c r="V32" s="37"/>
      <c r="W32" s="37"/>
      <c r="X32" s="37"/>
      <c r="Y32" s="37"/>
      <c r="Z32" s="67"/>
      <c r="AA32" s="67"/>
      <c r="AB32" s="67"/>
      <c r="AC32" s="37"/>
      <c r="AD32" s="37"/>
      <c r="AE32" s="67"/>
      <c r="AF32" s="67"/>
      <c r="AG32" s="67"/>
      <c r="AH32" s="67"/>
      <c r="AI32" s="39"/>
      <c r="AJ32" s="98"/>
    </row>
    <row r="33" spans="2:37" s="51" customFormat="1" ht="16.2" customHeight="1" x14ac:dyDescent="0.25">
      <c r="B33" s="638" t="s">
        <v>323</v>
      </c>
      <c r="C33" s="638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81">
        <f>P32+P31+P30</f>
        <v>15.395124000000001</v>
      </c>
      <c r="Q33" s="105">
        <f>Q32+Q31+Q30</f>
        <v>0</v>
      </c>
      <c r="R33" s="48"/>
      <c r="S33" s="106">
        <f t="shared" ref="S33:V33" si="17">S32+S31+S30</f>
        <v>0</v>
      </c>
      <c r="T33" s="99">
        <f t="shared" si="17"/>
        <v>0</v>
      </c>
      <c r="U33" s="99">
        <f t="shared" si="17"/>
        <v>0</v>
      </c>
      <c r="V33" s="81">
        <f t="shared" si="17"/>
        <v>0</v>
      </c>
      <c r="W33" s="105">
        <f>W32+W31+W30</f>
        <v>0</v>
      </c>
      <c r="X33" s="48"/>
      <c r="Y33" s="106">
        <f t="shared" ref="Y33:AC33" si="18">Y32+Y31+Y30</f>
        <v>0</v>
      </c>
      <c r="Z33" s="99">
        <f t="shared" si="18"/>
        <v>0</v>
      </c>
      <c r="AA33" s="99">
        <f t="shared" si="18"/>
        <v>0</v>
      </c>
      <c r="AB33" s="81">
        <f t="shared" si="18"/>
        <v>0</v>
      </c>
      <c r="AC33" s="105">
        <f t="shared" si="18"/>
        <v>0</v>
      </c>
      <c r="AD33" s="48"/>
      <c r="AE33" s="106">
        <f t="shared" ref="AE33:AH33" si="19">AE32+AE31+AE30</f>
        <v>0</v>
      </c>
      <c r="AF33" s="99">
        <f t="shared" si="19"/>
        <v>0</v>
      </c>
      <c r="AG33" s="99">
        <f t="shared" si="19"/>
        <v>0</v>
      </c>
      <c r="AH33" s="81">
        <f t="shared" si="19"/>
        <v>0</v>
      </c>
      <c r="AI33" s="107" t="e">
        <f>(AH33-AB33)/AB33</f>
        <v>#DIV/0!</v>
      </c>
      <c r="AJ33" s="108"/>
    </row>
    <row r="34" spans="2:37" s="51" customFormat="1" ht="20.399999999999999" customHeight="1" x14ac:dyDescent="0.25">
      <c r="B34" s="639" t="s">
        <v>324</v>
      </c>
      <c r="C34" s="639"/>
      <c r="D34" s="48">
        <f>D32+D31+D30+D29</f>
        <v>313.91080789335058</v>
      </c>
      <c r="E34" s="48">
        <f>E32+E31+E30+E29</f>
        <v>90.377099999999999</v>
      </c>
      <c r="F34" s="48"/>
      <c r="G34" s="48">
        <f t="shared" ref="G34:K34" si="20">G32+G31+G30+G29</f>
        <v>344.74765216617192</v>
      </c>
      <c r="H34" s="48">
        <f t="shared" si="20"/>
        <v>26.897930000000002</v>
      </c>
      <c r="I34" s="48">
        <f t="shared" si="20"/>
        <v>0</v>
      </c>
      <c r="J34" s="48">
        <f t="shared" si="20"/>
        <v>370.9455821661719</v>
      </c>
      <c r="K34" s="55">
        <f t="shared" si="20"/>
        <v>88.673836599999987</v>
      </c>
      <c r="L34" s="48"/>
      <c r="M34" s="101">
        <f t="shared" ref="M34:Q34" si="21">M32+M31+M30+M29</f>
        <v>306.67788040666665</v>
      </c>
      <c r="N34" s="48">
        <f t="shared" si="21"/>
        <v>17.976034800000001</v>
      </c>
      <c r="O34" s="48">
        <f t="shared" si="21"/>
        <v>5.0433287999999994</v>
      </c>
      <c r="P34" s="100">
        <f t="shared" si="21"/>
        <v>329.98404400666664</v>
      </c>
      <c r="Q34" s="55">
        <f t="shared" si="21"/>
        <v>0</v>
      </c>
      <c r="R34" s="109"/>
      <c r="S34" s="102">
        <f t="shared" ref="S34:W34" si="22">S32+S31+S30+S29</f>
        <v>0</v>
      </c>
      <c r="T34" s="109">
        <f t="shared" si="22"/>
        <v>0</v>
      </c>
      <c r="U34" s="109">
        <f t="shared" si="22"/>
        <v>0</v>
      </c>
      <c r="V34" s="100">
        <f t="shared" si="22"/>
        <v>0</v>
      </c>
      <c r="W34" s="55">
        <f t="shared" si="22"/>
        <v>0</v>
      </c>
      <c r="X34" s="110"/>
      <c r="Y34" s="102">
        <f t="shared" ref="Y34:AC34" si="23">Y32+Y31+Y30+Y29</f>
        <v>0</v>
      </c>
      <c r="Z34" s="109">
        <f t="shared" si="23"/>
        <v>0</v>
      </c>
      <c r="AA34" s="109">
        <f t="shared" si="23"/>
        <v>0</v>
      </c>
      <c r="AB34" s="100">
        <f t="shared" si="23"/>
        <v>0</v>
      </c>
      <c r="AC34" s="55">
        <f t="shared" si="23"/>
        <v>0</v>
      </c>
      <c r="AD34" s="110"/>
      <c r="AE34" s="102">
        <f t="shared" ref="AE34:AH34" si="24">AE32+AE31+AE30+AE29</f>
        <v>0</v>
      </c>
      <c r="AF34" s="109">
        <f t="shared" si="24"/>
        <v>0</v>
      </c>
      <c r="AG34" s="109">
        <f t="shared" si="24"/>
        <v>0</v>
      </c>
      <c r="AH34" s="100">
        <f t="shared" si="24"/>
        <v>0</v>
      </c>
      <c r="AI34" s="111" t="e">
        <f>(AH34-AB34)/AB34</f>
        <v>#DIV/0!</v>
      </c>
      <c r="AJ34" s="98"/>
      <c r="AK34" s="103"/>
    </row>
    <row r="36" spans="2:37" x14ac:dyDescent="0.25">
      <c r="AA36" s="64"/>
      <c r="AF36" s="98"/>
      <c r="AG36" s="64"/>
    </row>
    <row r="37" spans="2:37" x14ac:dyDescent="0.25">
      <c r="Y37" s="64"/>
      <c r="AB37" s="60"/>
      <c r="AC37" s="60"/>
      <c r="AE37" s="60"/>
      <c r="AF37" s="60"/>
      <c r="AG37" s="60"/>
      <c r="AH37" s="98"/>
    </row>
    <row r="38" spans="2:37" x14ac:dyDescent="0.25">
      <c r="W38" s="98"/>
      <c r="Y38" s="98"/>
      <c r="Z38" s="98"/>
      <c r="AA38" s="98"/>
      <c r="AB38" s="98"/>
      <c r="AC38" s="98"/>
      <c r="AE38" s="98"/>
      <c r="AF38" s="98"/>
      <c r="AG38" s="98"/>
      <c r="AH38" s="98"/>
    </row>
    <row r="39" spans="2:37" x14ac:dyDescent="0.25">
      <c r="AB39" s="64"/>
      <c r="AG39" s="64"/>
    </row>
    <row r="42" spans="2:37" x14ac:dyDescent="0.25">
      <c r="AB42" s="98"/>
    </row>
  </sheetData>
  <mergeCells count="31">
    <mergeCell ref="B1:C3"/>
    <mergeCell ref="E1:J1"/>
    <mergeCell ref="K1:P1"/>
    <mergeCell ref="Q1:V1"/>
    <mergeCell ref="W1:AB1"/>
    <mergeCell ref="V2:V3"/>
    <mergeCell ref="W2:Y2"/>
    <mergeCell ref="Z2:AA2"/>
    <mergeCell ref="AB2:AB3"/>
    <mergeCell ref="AI1:AI3"/>
    <mergeCell ref="D2:D3"/>
    <mergeCell ref="E2:G2"/>
    <mergeCell ref="H2:I2"/>
    <mergeCell ref="J2:J3"/>
    <mergeCell ref="K2:M2"/>
    <mergeCell ref="N2:O2"/>
    <mergeCell ref="P2:P3"/>
    <mergeCell ref="Q2:S2"/>
    <mergeCell ref="T2:U2"/>
    <mergeCell ref="AC1:AH1"/>
    <mergeCell ref="AC2:AE2"/>
    <mergeCell ref="AF2:AG2"/>
    <mergeCell ref="AH2:AH3"/>
    <mergeCell ref="B33:C33"/>
    <mergeCell ref="B34:C34"/>
    <mergeCell ref="B9:C9"/>
    <mergeCell ref="B12:C12"/>
    <mergeCell ref="B19:C19"/>
    <mergeCell ref="B23:C23"/>
    <mergeCell ref="B29:C29"/>
    <mergeCell ref="B15:C15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1:AA36"/>
  <sheetViews>
    <sheetView zoomScale="70" zoomScaleNormal="70" workbookViewId="0">
      <pane ySplit="2" topLeftCell="A3" activePane="bottomLeft" state="frozen"/>
      <selection activeCell="B1" sqref="B1:D33"/>
      <selection pane="bottomLeft" activeCell="W37" sqref="W37"/>
    </sheetView>
  </sheetViews>
  <sheetFormatPr defaultRowHeight="15.6" x14ac:dyDescent="0.25"/>
  <cols>
    <col min="1" max="1" width="6" customWidth="1"/>
    <col min="2" max="2" width="5.6640625" customWidth="1"/>
    <col min="3" max="3" width="20.21875" customWidth="1"/>
    <col min="4" max="4" width="10.21875" style="59" customWidth="1"/>
    <col min="5" max="5" width="11.77734375" style="60" customWidth="1"/>
    <col min="6" max="6" width="10.21875" style="60" customWidth="1"/>
    <col min="7" max="7" width="10.21875" style="59" customWidth="1"/>
    <col min="8" max="9" width="10.21875" style="60" customWidth="1"/>
    <col min="10" max="10" width="10.21875" style="59" customWidth="1"/>
    <col min="11" max="13" width="10.21875" style="60" customWidth="1"/>
    <col min="14" max="14" width="10.21875" style="59" customWidth="1"/>
    <col min="15" max="16" width="10.21875" style="60" customWidth="1"/>
    <col min="17" max="17" width="10" customWidth="1"/>
    <col min="18" max="19" width="12.88671875" customWidth="1"/>
    <col min="20" max="20" width="10.44140625" customWidth="1"/>
    <col min="21" max="21" width="10.44140625" bestFit="1" customWidth="1"/>
    <col min="22" max="22" width="12.33203125" customWidth="1"/>
    <col min="23" max="23" width="12.6640625" customWidth="1"/>
    <col min="24" max="24" width="17.44140625" style="63" customWidth="1"/>
  </cols>
  <sheetData>
    <row r="1" spans="2:27" ht="14.4" customHeight="1" x14ac:dyDescent="0.25">
      <c r="B1" s="648" t="s">
        <v>0</v>
      </c>
      <c r="C1" s="648"/>
      <c r="D1" s="648" t="s">
        <v>20</v>
      </c>
      <c r="E1" s="648"/>
      <c r="F1" s="648"/>
      <c r="G1" s="648" t="s">
        <v>21</v>
      </c>
      <c r="H1" s="648"/>
      <c r="I1" s="648"/>
      <c r="J1" s="648" t="s">
        <v>22</v>
      </c>
      <c r="K1" s="648"/>
      <c r="L1" s="648"/>
      <c r="M1" s="648"/>
      <c r="N1" s="648" t="s">
        <v>23</v>
      </c>
      <c r="O1" s="648"/>
      <c r="P1" s="648"/>
      <c r="Q1" s="651" t="s">
        <v>24</v>
      </c>
      <c r="R1" s="652"/>
      <c r="S1" s="652"/>
      <c r="T1" s="652"/>
      <c r="U1" s="647" t="s">
        <v>25</v>
      </c>
      <c r="V1" s="647"/>
      <c r="W1" s="647"/>
      <c r="X1" s="642" t="s">
        <v>26</v>
      </c>
    </row>
    <row r="2" spans="2:27" ht="46.8" x14ac:dyDescent="0.25">
      <c r="B2" s="648"/>
      <c r="C2" s="648"/>
      <c r="D2" s="32" t="s">
        <v>27</v>
      </c>
      <c r="E2" s="33" t="s">
        <v>28</v>
      </c>
      <c r="F2" s="33" t="s">
        <v>29</v>
      </c>
      <c r="G2" s="32" t="s">
        <v>27</v>
      </c>
      <c r="H2" s="33" t="s">
        <v>28</v>
      </c>
      <c r="I2" s="33" t="s">
        <v>29</v>
      </c>
      <c r="J2" s="32" t="s">
        <v>27</v>
      </c>
      <c r="K2" s="33" t="s">
        <v>28</v>
      </c>
      <c r="L2" s="519" t="s">
        <v>321</v>
      </c>
      <c r="M2" s="33" t="s">
        <v>29</v>
      </c>
      <c r="N2" s="32" t="s">
        <v>27</v>
      </c>
      <c r="O2" s="33" t="s">
        <v>28</v>
      </c>
      <c r="P2" s="33" t="s">
        <v>29</v>
      </c>
      <c r="Q2" s="32" t="s">
        <v>27</v>
      </c>
      <c r="R2" s="33" t="s">
        <v>28</v>
      </c>
      <c r="S2" s="519" t="s">
        <v>321</v>
      </c>
      <c r="T2" s="33" t="s">
        <v>29</v>
      </c>
      <c r="U2" s="32" t="s">
        <v>27</v>
      </c>
      <c r="V2" s="33" t="s">
        <v>28</v>
      </c>
      <c r="W2" s="33" t="s">
        <v>29</v>
      </c>
      <c r="X2" s="644"/>
    </row>
    <row r="3" spans="2:27" ht="18.600000000000001" customHeight="1" x14ac:dyDescent="0.25">
      <c r="B3" s="34">
        <v>1</v>
      </c>
      <c r="C3" s="35" t="s">
        <v>30</v>
      </c>
      <c r="D3" s="36"/>
      <c r="E3" s="37"/>
      <c r="F3" s="37"/>
      <c r="G3" s="36"/>
      <c r="H3" s="37"/>
      <c r="I3" s="37"/>
      <c r="J3" s="36"/>
      <c r="K3" s="37"/>
      <c r="L3" s="37"/>
      <c r="M3" s="37"/>
      <c r="N3" s="36"/>
      <c r="O3" s="37"/>
      <c r="P3" s="37"/>
      <c r="Q3" s="36"/>
      <c r="R3" s="37"/>
      <c r="S3" s="37"/>
      <c r="T3" s="37"/>
      <c r="U3" s="38"/>
      <c r="V3" s="37"/>
      <c r="W3" s="37"/>
      <c r="X3" s="39"/>
      <c r="Y3" s="528"/>
      <c r="Z3" s="40"/>
      <c r="AA3" s="41"/>
    </row>
    <row r="4" spans="2:27" ht="18.600000000000001" customHeight="1" x14ac:dyDescent="0.25">
      <c r="B4" s="34">
        <v>2</v>
      </c>
      <c r="C4" s="35" t="s">
        <v>31</v>
      </c>
      <c r="D4" s="36"/>
      <c r="E4" s="37"/>
      <c r="F4" s="37"/>
      <c r="G4" s="36"/>
      <c r="H4" s="37"/>
      <c r="I4" s="37"/>
      <c r="J4" s="36"/>
      <c r="K4" s="37"/>
      <c r="L4" s="37"/>
      <c r="M4" s="37"/>
      <c r="N4" s="36"/>
      <c r="O4" s="37"/>
      <c r="P4" s="37"/>
      <c r="Q4" s="36"/>
      <c r="R4" s="37"/>
      <c r="S4" s="37"/>
      <c r="T4" s="37"/>
      <c r="U4" s="38"/>
      <c r="V4" s="37"/>
      <c r="W4" s="37"/>
      <c r="X4" s="42"/>
      <c r="Y4" s="528"/>
      <c r="Z4" s="40"/>
      <c r="AA4" s="41"/>
    </row>
    <row r="5" spans="2:27" ht="18.600000000000001" customHeight="1" x14ac:dyDescent="0.25">
      <c r="B5" s="34">
        <v>3</v>
      </c>
      <c r="C5" s="35" t="s">
        <v>32</v>
      </c>
      <c r="D5" s="36"/>
      <c r="E5" s="37"/>
      <c r="F5" s="37"/>
      <c r="G5" s="36"/>
      <c r="H5" s="37"/>
      <c r="I5" s="37"/>
      <c r="J5" s="36"/>
      <c r="K5" s="37"/>
      <c r="L5" s="37"/>
      <c r="M5" s="37"/>
      <c r="N5" s="36"/>
      <c r="O5" s="37"/>
      <c r="P5" s="37"/>
      <c r="Q5" s="36"/>
      <c r="R5" s="37"/>
      <c r="S5" s="37"/>
      <c r="T5" s="37"/>
      <c r="U5" s="38"/>
      <c r="V5" s="37"/>
      <c r="W5" s="37"/>
      <c r="X5" s="42"/>
      <c r="Y5" s="528"/>
      <c r="Z5" s="40"/>
      <c r="AA5" s="41"/>
    </row>
    <row r="6" spans="2:27" ht="18.600000000000001" customHeight="1" x14ac:dyDescent="0.25">
      <c r="B6" s="34">
        <v>4</v>
      </c>
      <c r="C6" s="35" t="s">
        <v>33</v>
      </c>
      <c r="D6" s="36"/>
      <c r="E6" s="37"/>
      <c r="F6" s="37"/>
      <c r="G6" s="36"/>
      <c r="H6" s="37"/>
      <c r="I6" s="37"/>
      <c r="J6" s="36"/>
      <c r="K6" s="37"/>
      <c r="L6" s="44"/>
      <c r="M6" s="37"/>
      <c r="N6" s="36"/>
      <c r="O6" s="37"/>
      <c r="P6" s="37"/>
      <c r="Q6" s="43"/>
      <c r="R6" s="44"/>
      <c r="S6" s="44"/>
      <c r="T6" s="44"/>
      <c r="U6" s="45"/>
      <c r="V6" s="44"/>
      <c r="W6" s="44"/>
      <c r="X6" s="42"/>
      <c r="Y6" s="528"/>
      <c r="Z6" s="40"/>
      <c r="AA6" s="41"/>
    </row>
    <row r="7" spans="2:27" ht="18.600000000000001" customHeight="1" x14ac:dyDescent="0.25">
      <c r="B7" s="34">
        <v>5</v>
      </c>
      <c r="C7" s="46" t="s">
        <v>34</v>
      </c>
      <c r="D7" s="36"/>
      <c r="E7" s="37"/>
      <c r="F7" s="37"/>
      <c r="G7" s="36"/>
      <c r="H7" s="37"/>
      <c r="I7" s="37"/>
      <c r="J7" s="36"/>
      <c r="K7" s="37"/>
      <c r="L7" s="37"/>
      <c r="M7" s="37"/>
      <c r="N7" s="36"/>
      <c r="O7" s="37"/>
      <c r="P7" s="37"/>
      <c r="Q7" s="36"/>
      <c r="R7" s="37"/>
      <c r="S7" s="37"/>
      <c r="T7" s="37"/>
      <c r="U7" s="38"/>
      <c r="V7" s="37"/>
      <c r="W7" s="37"/>
      <c r="X7" s="42"/>
      <c r="Y7" s="528"/>
      <c r="Z7" s="40"/>
      <c r="AA7" s="41"/>
    </row>
    <row r="8" spans="2:27" s="51" customFormat="1" ht="18.600000000000001" customHeight="1" x14ac:dyDescent="0.25">
      <c r="B8" s="649" t="s">
        <v>4</v>
      </c>
      <c r="C8" s="650"/>
      <c r="D8" s="47">
        <f>SUM(D3:D7)</f>
        <v>0</v>
      </c>
      <c r="E8" s="48" t="e">
        <f>F8/(D8*12)*10000</f>
        <v>#DIV/0!</v>
      </c>
      <c r="F8" s="47">
        <f>SUM(F3:F7)</f>
        <v>0</v>
      </c>
      <c r="G8" s="47">
        <f>SUM(G3:G7)</f>
        <v>0</v>
      </c>
      <c r="H8" s="48" t="e">
        <f t="shared" ref="H8:H22" si="0">I8*10000/12/G8</f>
        <v>#DIV/0!</v>
      </c>
      <c r="I8" s="47">
        <f t="shared" ref="I8:J8" si="1">SUM(I3:I7)</f>
        <v>0</v>
      </c>
      <c r="J8" s="47">
        <f t="shared" si="1"/>
        <v>0</v>
      </c>
      <c r="K8" s="48" t="e">
        <f t="shared" ref="K8:K22" si="2">M8*10000/12/J8</f>
        <v>#DIV/0!</v>
      </c>
      <c r="L8" s="48"/>
      <c r="M8" s="47">
        <f t="shared" ref="M8:N8" si="3">SUM(M3:M7)</f>
        <v>0</v>
      </c>
      <c r="N8" s="47">
        <f t="shared" si="3"/>
        <v>0</v>
      </c>
      <c r="O8" s="48" t="e">
        <f>P8/(N8*12)*10000</f>
        <v>#DIV/0!</v>
      </c>
      <c r="P8" s="47">
        <f>SUM(P3:P7)</f>
        <v>0</v>
      </c>
      <c r="Q8" s="47">
        <f t="shared" ref="Q8" si="4">SUM(Q3:Q7)</f>
        <v>0</v>
      </c>
      <c r="R8" s="48" t="e">
        <f>T8/(Q8*12)*10000</f>
        <v>#DIV/0!</v>
      </c>
      <c r="S8" s="48"/>
      <c r="T8" s="47">
        <f>SUM(T3:T7)</f>
        <v>0</v>
      </c>
      <c r="U8" s="49">
        <f>SUM(U3:U7)</f>
        <v>0</v>
      </c>
      <c r="V8" s="47" t="e">
        <f t="shared" ref="V8:V28" si="5">W8/12/U8*10000</f>
        <v>#DIV/0!</v>
      </c>
      <c r="W8" s="47">
        <f>SUM(W3:W7)</f>
        <v>0</v>
      </c>
      <c r="X8" s="50" t="e">
        <f t="shared" ref="X8:X33" si="6">(W8-T8)/T8</f>
        <v>#DIV/0!</v>
      </c>
      <c r="Y8" s="528"/>
      <c r="Z8" s="40"/>
      <c r="AA8" s="41"/>
    </row>
    <row r="9" spans="2:27" ht="18.600000000000001" customHeight="1" x14ac:dyDescent="0.25">
      <c r="B9" s="34">
        <v>6</v>
      </c>
      <c r="C9" s="35" t="s">
        <v>35</v>
      </c>
      <c r="D9" s="36"/>
      <c r="E9" s="37"/>
      <c r="F9" s="37"/>
      <c r="G9" s="36"/>
      <c r="H9" s="37"/>
      <c r="I9" s="37"/>
      <c r="J9" s="36"/>
      <c r="K9" s="37"/>
      <c r="L9" s="37"/>
      <c r="M9" s="37"/>
      <c r="N9" s="36"/>
      <c r="O9" s="37"/>
      <c r="P9" s="37"/>
      <c r="Q9" s="36"/>
      <c r="R9" s="37"/>
      <c r="S9" s="37"/>
      <c r="T9" s="37"/>
      <c r="U9" s="38"/>
      <c r="V9" s="37"/>
      <c r="W9" s="37"/>
      <c r="X9" s="42"/>
      <c r="Y9" s="528"/>
      <c r="Z9" s="40"/>
      <c r="AA9" s="41"/>
    </row>
    <row r="10" spans="2:27" ht="18.600000000000001" customHeight="1" x14ac:dyDescent="0.25">
      <c r="B10" s="34">
        <v>7</v>
      </c>
      <c r="C10" s="46" t="s">
        <v>36</v>
      </c>
      <c r="D10" s="36"/>
      <c r="E10" s="37"/>
      <c r="F10" s="37"/>
      <c r="G10" s="36"/>
      <c r="H10" s="37"/>
      <c r="I10" s="37"/>
      <c r="J10" s="36"/>
      <c r="K10" s="37"/>
      <c r="L10" s="37"/>
      <c r="M10" s="37"/>
      <c r="N10" s="36"/>
      <c r="O10" s="37"/>
      <c r="P10" s="37"/>
      <c r="Q10" s="36"/>
      <c r="R10" s="37"/>
      <c r="S10" s="37"/>
      <c r="T10" s="37"/>
      <c r="U10" s="38"/>
      <c r="V10" s="37"/>
      <c r="W10" s="37"/>
      <c r="X10" s="42"/>
      <c r="Y10" s="528"/>
      <c r="Z10" s="40"/>
      <c r="AA10" s="41"/>
    </row>
    <row r="11" spans="2:27" s="51" customFormat="1" ht="18.600000000000001" customHeight="1" x14ac:dyDescent="0.25">
      <c r="B11" s="649" t="s">
        <v>5</v>
      </c>
      <c r="C11" s="650"/>
      <c r="D11" s="47">
        <f>SUM(D9:D10)</f>
        <v>0</v>
      </c>
      <c r="E11" s="48" t="e">
        <f>F11/(D11*12)*10000</f>
        <v>#DIV/0!</v>
      </c>
      <c r="F11" s="47">
        <f t="shared" ref="F11:G11" si="7">SUM(F9:F10)</f>
        <v>0</v>
      </c>
      <c r="G11" s="47">
        <f t="shared" si="7"/>
        <v>0</v>
      </c>
      <c r="H11" s="48" t="e">
        <f t="shared" si="0"/>
        <v>#DIV/0!</v>
      </c>
      <c r="I11" s="47">
        <f t="shared" ref="I11:J11" si="8">SUM(I9:I10)</f>
        <v>0</v>
      </c>
      <c r="J11" s="47">
        <f t="shared" si="8"/>
        <v>0</v>
      </c>
      <c r="K11" s="48" t="e">
        <f t="shared" si="2"/>
        <v>#DIV/0!</v>
      </c>
      <c r="L11" s="48"/>
      <c r="M11" s="47">
        <f t="shared" ref="M11:N11" si="9">SUM(M9:M10)</f>
        <v>0</v>
      </c>
      <c r="N11" s="47">
        <f t="shared" si="9"/>
        <v>0</v>
      </c>
      <c r="O11" s="48" t="e">
        <f>P11/(N11*12)*10000</f>
        <v>#DIV/0!</v>
      </c>
      <c r="P11" s="47">
        <f>SUM(P9:P10)</f>
        <v>0</v>
      </c>
      <c r="Q11" s="47">
        <f t="shared" ref="Q11" si="10">SUM(Q9:Q10)</f>
        <v>0</v>
      </c>
      <c r="R11" s="48" t="e">
        <f>T11/(Q11*12)*10000</f>
        <v>#DIV/0!</v>
      </c>
      <c r="S11" s="48"/>
      <c r="T11" s="47">
        <f>SUM(T9:T10)</f>
        <v>0</v>
      </c>
      <c r="U11" s="49">
        <f>SUM(U9:U10)</f>
        <v>0</v>
      </c>
      <c r="V11" s="47" t="e">
        <f t="shared" si="5"/>
        <v>#DIV/0!</v>
      </c>
      <c r="W11" s="47">
        <f>SUM(W9:W10)</f>
        <v>0</v>
      </c>
      <c r="X11" s="50" t="e">
        <f t="shared" si="6"/>
        <v>#DIV/0!</v>
      </c>
      <c r="Y11" s="528"/>
      <c r="Z11" s="40"/>
      <c r="AA11" s="41"/>
    </row>
    <row r="12" spans="2:27" ht="18.600000000000001" customHeight="1" x14ac:dyDescent="0.25">
      <c r="B12" s="34">
        <v>8</v>
      </c>
      <c r="C12" s="46" t="s">
        <v>19</v>
      </c>
      <c r="D12" s="36"/>
      <c r="E12" s="37"/>
      <c r="F12" s="37"/>
      <c r="G12" s="36"/>
      <c r="H12" s="37"/>
      <c r="I12" s="37"/>
      <c r="J12" s="36"/>
      <c r="K12" s="37"/>
      <c r="L12" s="37"/>
      <c r="M12" s="37"/>
      <c r="N12" s="36"/>
      <c r="O12" s="37"/>
      <c r="P12" s="37"/>
      <c r="Q12" s="36"/>
      <c r="R12" s="37"/>
      <c r="S12" s="37"/>
      <c r="T12" s="37"/>
      <c r="U12" s="38"/>
      <c r="V12" s="37"/>
      <c r="W12" s="37"/>
      <c r="X12" s="42"/>
      <c r="Y12" s="528"/>
      <c r="Z12" s="40"/>
      <c r="AA12" s="41"/>
    </row>
    <row r="13" spans="2:27" ht="18.600000000000001" customHeight="1" x14ac:dyDescent="0.25">
      <c r="B13" s="34">
        <v>9</v>
      </c>
      <c r="C13" s="35" t="s">
        <v>37</v>
      </c>
      <c r="D13" s="36"/>
      <c r="E13" s="37"/>
      <c r="F13" s="37"/>
      <c r="G13" s="36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42"/>
      <c r="Y13" s="528"/>
      <c r="Z13" s="40"/>
      <c r="AA13" s="41"/>
    </row>
    <row r="14" spans="2:27" s="51" customFormat="1" ht="18.600000000000001" customHeight="1" x14ac:dyDescent="0.25">
      <c r="B14" s="649" t="s">
        <v>6</v>
      </c>
      <c r="C14" s="650"/>
      <c r="D14" s="47">
        <f>SUM(D12:D13)</f>
        <v>0</v>
      </c>
      <c r="E14" s="48" t="e">
        <f>F14/(D14*12)*10000</f>
        <v>#DIV/0!</v>
      </c>
      <c r="F14" s="47">
        <f t="shared" ref="F14:G14" si="11">SUM(F12:F13)</f>
        <v>0</v>
      </c>
      <c r="G14" s="47">
        <f t="shared" si="11"/>
        <v>0</v>
      </c>
      <c r="H14" s="48" t="e">
        <f t="shared" si="0"/>
        <v>#DIV/0!</v>
      </c>
      <c r="I14" s="47">
        <f t="shared" ref="I14:J14" si="12">SUM(I12:I13)</f>
        <v>0</v>
      </c>
      <c r="J14" s="47">
        <f t="shared" si="12"/>
        <v>0</v>
      </c>
      <c r="K14" s="48" t="e">
        <f t="shared" si="2"/>
        <v>#DIV/0!</v>
      </c>
      <c r="L14" s="48"/>
      <c r="M14" s="47">
        <f t="shared" ref="M14:N14" si="13">SUM(M12:M13)</f>
        <v>0</v>
      </c>
      <c r="N14" s="47">
        <f t="shared" si="13"/>
        <v>0</v>
      </c>
      <c r="O14" s="48" t="e">
        <f>P14/(N14*12)*10000</f>
        <v>#DIV/0!</v>
      </c>
      <c r="P14" s="47">
        <f>SUM(P12:P13)</f>
        <v>0</v>
      </c>
      <c r="Q14" s="47">
        <f t="shared" ref="Q14" si="14">SUM(Q12:Q13)</f>
        <v>0</v>
      </c>
      <c r="R14" s="48" t="e">
        <f>T14/(Q14*12)*10000</f>
        <v>#DIV/0!</v>
      </c>
      <c r="S14" s="48"/>
      <c r="T14" s="47">
        <f>SUM(T12:T13)</f>
        <v>0</v>
      </c>
      <c r="U14" s="49">
        <f>SUM(U12:U13)</f>
        <v>0</v>
      </c>
      <c r="V14" s="47" t="e">
        <f t="shared" si="5"/>
        <v>#DIV/0!</v>
      </c>
      <c r="W14" s="47">
        <f>SUM(W12:W13)</f>
        <v>0</v>
      </c>
      <c r="X14" s="50" t="e">
        <f t="shared" si="6"/>
        <v>#DIV/0!</v>
      </c>
      <c r="Y14" s="528"/>
      <c r="Z14" s="40"/>
      <c r="AA14" s="41"/>
    </row>
    <row r="15" spans="2:27" ht="18.600000000000001" customHeight="1" x14ac:dyDescent="0.25">
      <c r="B15" s="34">
        <v>10</v>
      </c>
      <c r="C15" s="35" t="s">
        <v>7</v>
      </c>
      <c r="D15" s="36"/>
      <c r="E15" s="37"/>
      <c r="F15" s="37"/>
      <c r="G15" s="36"/>
      <c r="H15" s="37"/>
      <c r="I15" s="37"/>
      <c r="J15" s="36"/>
      <c r="K15" s="37"/>
      <c r="L15" s="37"/>
      <c r="M15" s="37"/>
      <c r="N15" s="36"/>
      <c r="O15" s="37"/>
      <c r="P15" s="37"/>
      <c r="Q15" s="36"/>
      <c r="R15" s="37"/>
      <c r="S15" s="37"/>
      <c r="T15" s="37"/>
      <c r="U15" s="38"/>
      <c r="V15" s="37"/>
      <c r="W15" s="37"/>
      <c r="X15" s="42"/>
      <c r="Y15" s="528"/>
      <c r="Z15" s="40"/>
      <c r="AA15" s="41"/>
    </row>
    <row r="16" spans="2:27" ht="18.600000000000001" customHeight="1" x14ac:dyDescent="0.25">
      <c r="B16" s="34">
        <v>11</v>
      </c>
      <c r="C16" s="35" t="s">
        <v>8</v>
      </c>
      <c r="D16" s="36"/>
      <c r="E16" s="37"/>
      <c r="F16" s="37"/>
      <c r="G16" s="36"/>
      <c r="H16" s="37"/>
      <c r="I16" s="37"/>
      <c r="J16" s="36"/>
      <c r="K16" s="37"/>
      <c r="L16" s="37"/>
      <c r="M16" s="37"/>
      <c r="N16" s="36"/>
      <c r="O16" s="37"/>
      <c r="P16" s="37"/>
      <c r="Q16" s="36"/>
      <c r="R16" s="37"/>
      <c r="S16" s="37"/>
      <c r="T16" s="37"/>
      <c r="U16" s="38"/>
      <c r="V16" s="37"/>
      <c r="W16" s="37"/>
      <c r="X16" s="42"/>
      <c r="Y16" s="528"/>
      <c r="Z16" s="40"/>
      <c r="AA16" s="41"/>
    </row>
    <row r="17" spans="2:27" ht="18.600000000000001" customHeight="1" x14ac:dyDescent="0.25">
      <c r="B17" s="34">
        <v>12</v>
      </c>
      <c r="C17" s="35" t="s">
        <v>9</v>
      </c>
      <c r="D17" s="36"/>
      <c r="E17" s="37"/>
      <c r="F17" s="37"/>
      <c r="G17" s="36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42"/>
      <c r="Y17" s="528"/>
      <c r="Z17" s="40"/>
      <c r="AA17" s="41"/>
    </row>
    <row r="18" spans="2:27" s="51" customFormat="1" ht="18.600000000000001" customHeight="1" x14ac:dyDescent="0.25">
      <c r="B18" s="649" t="s">
        <v>10</v>
      </c>
      <c r="C18" s="650"/>
      <c r="D18" s="47">
        <f>SUM(D15:D17)</f>
        <v>0</v>
      </c>
      <c r="E18" s="48" t="e">
        <f>F18/(D18*12)*10000</f>
        <v>#DIV/0!</v>
      </c>
      <c r="F18" s="47">
        <f t="shared" ref="F18:G18" si="15">SUM(F15:F17)</f>
        <v>0</v>
      </c>
      <c r="G18" s="47">
        <f t="shared" si="15"/>
        <v>0</v>
      </c>
      <c r="H18" s="48" t="e">
        <f t="shared" si="0"/>
        <v>#DIV/0!</v>
      </c>
      <c r="I18" s="47">
        <f t="shared" ref="I18:J18" si="16">SUM(I15:I17)</f>
        <v>0</v>
      </c>
      <c r="J18" s="47">
        <f t="shared" si="16"/>
        <v>0</v>
      </c>
      <c r="K18" s="48" t="e">
        <f t="shared" si="2"/>
        <v>#DIV/0!</v>
      </c>
      <c r="L18" s="48"/>
      <c r="M18" s="47">
        <f t="shared" ref="M18:Q18" si="17">SUM(M15:M17)</f>
        <v>0</v>
      </c>
      <c r="N18" s="47">
        <f t="shared" si="17"/>
        <v>0</v>
      </c>
      <c r="O18" s="48" t="e">
        <f>P18/(N18*12)*10000</f>
        <v>#DIV/0!</v>
      </c>
      <c r="P18" s="47">
        <f t="shared" si="17"/>
        <v>0</v>
      </c>
      <c r="Q18" s="47">
        <f t="shared" si="17"/>
        <v>0</v>
      </c>
      <c r="R18" s="48" t="e">
        <f>T18/(Q18*12)*10000</f>
        <v>#DIV/0!</v>
      </c>
      <c r="S18" s="48"/>
      <c r="T18" s="47">
        <f t="shared" ref="T18" si="18">SUM(T15:T17)</f>
        <v>0</v>
      </c>
      <c r="U18" s="49">
        <f>SUM(U15:U17)</f>
        <v>0</v>
      </c>
      <c r="V18" s="47" t="e">
        <f t="shared" si="5"/>
        <v>#DIV/0!</v>
      </c>
      <c r="W18" s="47">
        <f t="shared" ref="W18" si="19">SUM(W15:W17)</f>
        <v>0</v>
      </c>
      <c r="X18" s="50" t="e">
        <f t="shared" si="6"/>
        <v>#DIV/0!</v>
      </c>
      <c r="Y18" s="528"/>
      <c r="Z18" s="40"/>
      <c r="AA18" s="41"/>
    </row>
    <row r="19" spans="2:27" ht="18.600000000000001" customHeight="1" x14ac:dyDescent="0.25">
      <c r="B19" s="34">
        <v>13</v>
      </c>
      <c r="C19" s="35" t="s">
        <v>38</v>
      </c>
      <c r="D19" s="36"/>
      <c r="E19" s="37"/>
      <c r="F19" s="37"/>
      <c r="G19" s="36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52"/>
      <c r="Y19" s="528"/>
      <c r="Z19" s="40"/>
      <c r="AA19" s="41"/>
    </row>
    <row r="20" spans="2:27" ht="18.600000000000001" customHeight="1" x14ac:dyDescent="0.25">
      <c r="B20" s="34">
        <v>14</v>
      </c>
      <c r="C20" s="35" t="s">
        <v>12</v>
      </c>
      <c r="D20" s="36"/>
      <c r="E20" s="37"/>
      <c r="F20" s="37"/>
      <c r="G20" s="36"/>
      <c r="H20" s="37"/>
      <c r="I20" s="37"/>
      <c r="J20" s="36"/>
      <c r="K20" s="37"/>
      <c r="L20" s="37"/>
      <c r="M20" s="37"/>
      <c r="N20" s="36"/>
      <c r="O20" s="37"/>
      <c r="P20" s="37"/>
      <c r="Q20" s="36"/>
      <c r="R20" s="37"/>
      <c r="S20" s="527"/>
      <c r="T20" s="37"/>
      <c r="U20" s="38"/>
      <c r="V20" s="53"/>
      <c r="W20" s="53"/>
      <c r="X20" s="39"/>
      <c r="Y20" s="528"/>
      <c r="Z20" s="40"/>
      <c r="AA20" s="41"/>
    </row>
    <row r="21" spans="2:27" ht="18.600000000000001" customHeight="1" x14ac:dyDescent="0.25">
      <c r="B21" s="34">
        <v>15</v>
      </c>
      <c r="C21" s="35" t="s">
        <v>11</v>
      </c>
      <c r="D21" s="36"/>
      <c r="E21" s="37"/>
      <c r="F21" s="37"/>
      <c r="G21" s="36"/>
      <c r="H21" s="37"/>
      <c r="I21" s="37"/>
      <c r="J21" s="36"/>
      <c r="K21" s="37"/>
      <c r="L21" s="37"/>
      <c r="M21" s="37"/>
      <c r="N21" s="36"/>
      <c r="O21" s="37"/>
      <c r="P21" s="37"/>
      <c r="Q21" s="36"/>
      <c r="R21" s="37"/>
      <c r="S21" s="37"/>
      <c r="T21" s="37"/>
      <c r="U21" s="38"/>
      <c r="V21" s="37"/>
      <c r="W21" s="37"/>
      <c r="X21" s="42"/>
      <c r="Y21" s="528"/>
      <c r="Z21" s="40"/>
      <c r="AA21" s="41"/>
    </row>
    <row r="22" spans="2:27" s="51" customFormat="1" ht="18.600000000000001" customHeight="1" x14ac:dyDescent="0.25">
      <c r="B22" s="649" t="s">
        <v>39</v>
      </c>
      <c r="C22" s="650"/>
      <c r="D22" s="47">
        <f>SUM(D19:D21)</f>
        <v>0</v>
      </c>
      <c r="E22" s="48" t="e">
        <f>F22/(D22*12)*10000</f>
        <v>#DIV/0!</v>
      </c>
      <c r="F22" s="47">
        <f>SUM(F19:F21)</f>
        <v>0</v>
      </c>
      <c r="G22" s="47">
        <f>SUM(G19:G21)</f>
        <v>0</v>
      </c>
      <c r="H22" s="48" t="e">
        <f t="shared" si="0"/>
        <v>#DIV/0!</v>
      </c>
      <c r="I22" s="47">
        <f t="shared" ref="I22:J22" si="20">SUM(I19:I21)</f>
        <v>0</v>
      </c>
      <c r="J22" s="47">
        <f t="shared" si="20"/>
        <v>0</v>
      </c>
      <c r="K22" s="48" t="e">
        <f t="shared" si="2"/>
        <v>#DIV/0!</v>
      </c>
      <c r="L22" s="48"/>
      <c r="M22" s="47">
        <f t="shared" ref="M22:Q22" si="21">SUM(M19:M21)</f>
        <v>0</v>
      </c>
      <c r="N22" s="47">
        <f t="shared" si="21"/>
        <v>0</v>
      </c>
      <c r="O22" s="48" t="e">
        <f>P22/(N22*12)*10000</f>
        <v>#DIV/0!</v>
      </c>
      <c r="P22" s="47">
        <f t="shared" si="21"/>
        <v>0</v>
      </c>
      <c r="Q22" s="47">
        <f t="shared" si="21"/>
        <v>0</v>
      </c>
      <c r="R22" s="48" t="e">
        <f>T22/(Q22*12)*10000</f>
        <v>#DIV/0!</v>
      </c>
      <c r="S22" s="48"/>
      <c r="T22" s="47">
        <f t="shared" ref="T22" si="22">SUM(T19:T21)</f>
        <v>0</v>
      </c>
      <c r="U22" s="49">
        <f>SUM(U19:U21)</f>
        <v>0</v>
      </c>
      <c r="V22" s="47" t="e">
        <f t="shared" si="5"/>
        <v>#DIV/0!</v>
      </c>
      <c r="W22" s="47">
        <f t="shared" ref="W22" si="23">SUM(W19:W21)</f>
        <v>0</v>
      </c>
      <c r="X22" s="50" t="e">
        <f t="shared" si="6"/>
        <v>#DIV/0!</v>
      </c>
      <c r="Y22" s="528"/>
      <c r="Z22" s="40"/>
      <c r="AA22" s="41"/>
    </row>
    <row r="23" spans="2:27" ht="18.600000000000001" customHeight="1" x14ac:dyDescent="0.25">
      <c r="B23" s="34">
        <v>16</v>
      </c>
      <c r="C23" s="35" t="s">
        <v>13</v>
      </c>
      <c r="D23" s="36"/>
      <c r="E23" s="37"/>
      <c r="F23" s="37"/>
      <c r="G23" s="36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44"/>
      <c r="W23" s="37"/>
      <c r="X23" s="42"/>
      <c r="Y23" s="528"/>
      <c r="Z23" s="40"/>
      <c r="AA23" s="41"/>
    </row>
    <row r="24" spans="2:27" ht="18.600000000000001" customHeight="1" x14ac:dyDescent="0.25">
      <c r="B24" s="34">
        <v>17</v>
      </c>
      <c r="C24" s="35" t="s">
        <v>40</v>
      </c>
      <c r="D24" s="36"/>
      <c r="E24" s="37"/>
      <c r="F24" s="37"/>
      <c r="G24" s="36"/>
      <c r="H24" s="37"/>
      <c r="I24" s="37"/>
      <c r="J24" s="36"/>
      <c r="K24" s="37"/>
      <c r="L24" s="44"/>
      <c r="M24" s="37"/>
      <c r="N24" s="36"/>
      <c r="O24" s="37"/>
      <c r="P24" s="37"/>
      <c r="Q24" s="43"/>
      <c r="R24" s="44"/>
      <c r="S24" s="44"/>
      <c r="T24" s="44"/>
      <c r="U24" s="45"/>
      <c r="V24" s="44"/>
      <c r="W24" s="37"/>
      <c r="X24" s="42"/>
      <c r="Y24" s="528"/>
      <c r="Z24" s="40"/>
      <c r="AA24" s="41"/>
    </row>
    <row r="25" spans="2:27" ht="18.600000000000001" customHeight="1" x14ac:dyDescent="0.25">
      <c r="B25" s="34">
        <v>18</v>
      </c>
      <c r="C25" s="46" t="s">
        <v>14</v>
      </c>
      <c r="D25" s="36"/>
      <c r="E25" s="37"/>
      <c r="F25" s="37"/>
      <c r="G25" s="36"/>
      <c r="H25" s="37"/>
      <c r="I25" s="37"/>
      <c r="J25" s="36"/>
      <c r="K25" s="37"/>
      <c r="L25" s="44"/>
      <c r="M25" s="37"/>
      <c r="N25" s="36"/>
      <c r="O25" s="37"/>
      <c r="P25" s="37"/>
      <c r="Q25" s="43"/>
      <c r="R25" s="44"/>
      <c r="S25" s="44"/>
      <c r="T25" s="44"/>
      <c r="U25" s="45"/>
      <c r="V25" s="44"/>
      <c r="W25" s="37"/>
      <c r="X25" s="42"/>
      <c r="Y25" s="528"/>
      <c r="Z25" s="40"/>
      <c r="AA25" s="41"/>
    </row>
    <row r="26" spans="2:27" ht="18.600000000000001" customHeight="1" x14ac:dyDescent="0.25">
      <c r="B26" s="34">
        <v>19</v>
      </c>
      <c r="C26" s="35" t="s">
        <v>15</v>
      </c>
      <c r="D26" s="36"/>
      <c r="E26" s="37"/>
      <c r="F26" s="37"/>
      <c r="G26" s="36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44"/>
      <c r="S26" s="37"/>
      <c r="T26" s="37"/>
      <c r="U26" s="37"/>
      <c r="V26" s="44"/>
      <c r="W26" s="37"/>
      <c r="X26" s="42"/>
      <c r="Y26" s="528"/>
      <c r="Z26" s="40"/>
      <c r="AA26" s="41"/>
    </row>
    <row r="27" spans="2:27" ht="18.600000000000001" customHeight="1" x14ac:dyDescent="0.25">
      <c r="B27" s="34">
        <v>20</v>
      </c>
      <c r="C27" s="35" t="s">
        <v>16</v>
      </c>
      <c r="D27" s="36"/>
      <c r="E27" s="37"/>
      <c r="F27" s="37"/>
      <c r="G27" s="36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44"/>
      <c r="W27" s="37"/>
      <c r="X27" s="42"/>
      <c r="Y27" s="528"/>
      <c r="Z27" s="40"/>
      <c r="AA27" s="41"/>
    </row>
    <row r="28" spans="2:27" s="51" customFormat="1" ht="18.600000000000001" customHeight="1" x14ac:dyDescent="0.25">
      <c r="B28" s="638" t="s">
        <v>322</v>
      </c>
      <c r="C28" s="638"/>
      <c r="D28" s="54">
        <f>SUM(D23:D27)+D22+D18+D14+D11+D8</f>
        <v>0</v>
      </c>
      <c r="E28" s="55" t="e">
        <f>F28/(D28*12)*10000</f>
        <v>#DIV/0!</v>
      </c>
      <c r="F28" s="56">
        <f t="shared" ref="F28:G28" si="24">SUM(F23:F27)+F22+F18+F14+F11+F8</f>
        <v>0</v>
      </c>
      <c r="G28" s="54">
        <f t="shared" si="24"/>
        <v>0</v>
      </c>
      <c r="H28" s="55" t="e">
        <f>I28/(G28*12)*10000</f>
        <v>#DIV/0!</v>
      </c>
      <c r="I28" s="56">
        <f t="shared" ref="I28:J28" si="25">SUM(I23:I27)+I22+I18+I14+I11+I8</f>
        <v>0</v>
      </c>
      <c r="J28" s="54">
        <f t="shared" si="25"/>
        <v>0</v>
      </c>
      <c r="K28" s="55" t="e">
        <f>M28/(J28*12)*10000</f>
        <v>#DIV/0!</v>
      </c>
      <c r="L28" s="520">
        <v>6.95</v>
      </c>
      <c r="M28" s="56">
        <f t="shared" ref="M28:N28" si="26">SUM(M23:M27)+M22+M18+M14+M11+M8</f>
        <v>0</v>
      </c>
      <c r="N28" s="54">
        <f t="shared" si="26"/>
        <v>0</v>
      </c>
      <c r="O28" s="55" t="e">
        <f>P28/(N28*12)*10000</f>
        <v>#DIV/0!</v>
      </c>
      <c r="P28" s="56">
        <f t="shared" ref="P28:Q28" si="27">SUM(P23:P27)+P22+P18+P14+P11+P8</f>
        <v>0</v>
      </c>
      <c r="Q28" s="54">
        <f t="shared" si="27"/>
        <v>0</v>
      </c>
      <c r="R28" s="55" t="e">
        <f>T28/(Q28*12)*10000</f>
        <v>#DIV/0!</v>
      </c>
      <c r="S28" s="520">
        <v>6.94</v>
      </c>
      <c r="T28" s="56">
        <f t="shared" ref="T28:U28" si="28">SUM(T23:T27)+T22+T18+T14+T11+T8</f>
        <v>0</v>
      </c>
      <c r="U28" s="54">
        <f t="shared" si="28"/>
        <v>0</v>
      </c>
      <c r="V28" s="55" t="e">
        <f t="shared" si="5"/>
        <v>#DIV/0!</v>
      </c>
      <c r="W28" s="56">
        <f>SUM(W23:W27)+W22+W18+W14+W11+W8</f>
        <v>0</v>
      </c>
      <c r="X28" s="50" t="e">
        <f t="shared" si="6"/>
        <v>#DIV/0!</v>
      </c>
      <c r="Y28" s="528"/>
      <c r="Z28" s="40"/>
      <c r="AA28" s="41"/>
    </row>
    <row r="29" spans="2:27" ht="18.600000000000001" customHeight="1" x14ac:dyDescent="0.25">
      <c r="B29" s="34">
        <v>21</v>
      </c>
      <c r="C29" s="35" t="s">
        <v>41</v>
      </c>
      <c r="D29" s="36"/>
      <c r="E29" s="37"/>
      <c r="F29" s="37"/>
      <c r="G29" s="36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44"/>
      <c r="W29" s="37"/>
      <c r="X29" s="42"/>
      <c r="Y29" s="528"/>
      <c r="Z29" s="40"/>
    </row>
    <row r="30" spans="2:27" ht="18.600000000000001" customHeight="1" x14ac:dyDescent="0.25">
      <c r="B30" s="34">
        <v>22</v>
      </c>
      <c r="C30" s="35" t="s">
        <v>17</v>
      </c>
      <c r="D30" s="36"/>
      <c r="E30" s="37"/>
      <c r="F30" s="37"/>
      <c r="G30" s="36"/>
      <c r="H30" s="37"/>
      <c r="I30" s="37"/>
      <c r="J30" s="36"/>
      <c r="K30" s="37"/>
      <c r="L30" s="44"/>
      <c r="M30" s="37"/>
      <c r="N30" s="36"/>
      <c r="O30" s="37"/>
      <c r="P30" s="37"/>
      <c r="Q30" s="43"/>
      <c r="R30" s="44"/>
      <c r="S30" s="527"/>
      <c r="T30" s="44"/>
      <c r="U30" s="45"/>
      <c r="V30" s="44"/>
      <c r="W30" s="37"/>
      <c r="X30" s="39"/>
      <c r="Y30" s="528"/>
      <c r="Z30" s="40"/>
      <c r="AA30" s="41"/>
    </row>
    <row r="31" spans="2:27" ht="18.600000000000001" customHeight="1" x14ac:dyDescent="0.25">
      <c r="B31" s="34">
        <v>23</v>
      </c>
      <c r="C31" s="35" t="s">
        <v>77</v>
      </c>
      <c r="D31" s="36"/>
      <c r="E31" s="37"/>
      <c r="F31" s="37"/>
      <c r="G31" s="36"/>
      <c r="H31" s="37"/>
      <c r="I31" s="37"/>
      <c r="J31" s="36"/>
      <c r="K31" s="37"/>
      <c r="L31" s="37"/>
      <c r="M31" s="37"/>
      <c r="N31" s="36"/>
      <c r="O31" s="37"/>
      <c r="P31" s="37"/>
      <c r="Q31" s="43"/>
      <c r="R31" s="44"/>
      <c r="S31" s="527"/>
      <c r="T31" s="44"/>
      <c r="U31" s="57"/>
      <c r="V31" s="44"/>
      <c r="W31" s="44"/>
      <c r="X31" s="52"/>
      <c r="Y31" s="528"/>
      <c r="Z31" s="40"/>
      <c r="AA31" s="41"/>
    </row>
    <row r="32" spans="2:27" s="51" customFormat="1" ht="18.600000000000001" customHeight="1" x14ac:dyDescent="0.25">
      <c r="B32" s="638" t="s">
        <v>323</v>
      </c>
      <c r="C32" s="638"/>
      <c r="D32" s="54">
        <f>D31+D30+D29</f>
        <v>0</v>
      </c>
      <c r="E32" s="55" t="e">
        <f>F32/(D32*12)*10000</f>
        <v>#DIV/0!</v>
      </c>
      <c r="F32" s="56">
        <f t="shared" ref="F32:G32" si="29">F31+F30+F29</f>
        <v>0</v>
      </c>
      <c r="G32" s="54">
        <f t="shared" si="29"/>
        <v>0</v>
      </c>
      <c r="H32" s="55" t="e">
        <f>I32/(G32*12)*10000</f>
        <v>#DIV/0!</v>
      </c>
      <c r="I32" s="56">
        <f t="shared" ref="I32:J32" si="30">I31+I30+I29</f>
        <v>0</v>
      </c>
      <c r="J32" s="54">
        <f t="shared" si="30"/>
        <v>0</v>
      </c>
      <c r="K32" s="55" t="e">
        <f>M32/(J32*12)*10000</f>
        <v>#DIV/0!</v>
      </c>
      <c r="L32" s="520">
        <v>6.68</v>
      </c>
      <c r="M32" s="56">
        <f t="shared" ref="M32:N32" si="31">M31+M30+M29</f>
        <v>0</v>
      </c>
      <c r="N32" s="54">
        <f t="shared" si="31"/>
        <v>0</v>
      </c>
      <c r="O32" s="55" t="e">
        <f>P32/(N32*12)*10000</f>
        <v>#DIV/0!</v>
      </c>
      <c r="P32" s="56">
        <f t="shared" ref="P32:Q32" si="32">P31+P30+P29</f>
        <v>0</v>
      </c>
      <c r="Q32" s="54">
        <f t="shared" si="32"/>
        <v>0</v>
      </c>
      <c r="R32" s="55" t="e">
        <f>T32/(Q32*12)*10000</f>
        <v>#DIV/0!</v>
      </c>
      <c r="S32" s="520">
        <v>9.14</v>
      </c>
      <c r="T32" s="56">
        <f t="shared" ref="T32:U32" si="33">T31+T30+T29</f>
        <v>0</v>
      </c>
      <c r="U32" s="54">
        <f t="shared" si="33"/>
        <v>0</v>
      </c>
      <c r="V32" s="55" t="e">
        <f>W32/(U32*12)*10000</f>
        <v>#DIV/0!</v>
      </c>
      <c r="W32" s="56">
        <f>W31+W30+W29</f>
        <v>0</v>
      </c>
      <c r="X32" s="58" t="e">
        <f t="shared" si="6"/>
        <v>#DIV/0!</v>
      </c>
      <c r="Y32" s="528"/>
      <c r="Z32" s="40"/>
      <c r="AA32" s="41"/>
    </row>
    <row r="33" spans="2:27" ht="30" customHeight="1" x14ac:dyDescent="0.25">
      <c r="B33" s="639" t="s">
        <v>324</v>
      </c>
      <c r="C33" s="639"/>
      <c r="D33" s="54">
        <f>D31+D30+D28</f>
        <v>0</v>
      </c>
      <c r="E33" s="55" t="e">
        <f>F33/(D33*12)*10000</f>
        <v>#DIV/0!</v>
      </c>
      <c r="F33" s="56">
        <f>F31+F30+F28</f>
        <v>0</v>
      </c>
      <c r="G33" s="54">
        <f>G31+G30+G28</f>
        <v>0</v>
      </c>
      <c r="H33" s="55" t="e">
        <f>I33/(G33*12)*10000</f>
        <v>#DIV/0!</v>
      </c>
      <c r="I33" s="56">
        <f>I31+I30+I28</f>
        <v>0</v>
      </c>
      <c r="J33" s="54">
        <f>J31+J30+J28</f>
        <v>0</v>
      </c>
      <c r="K33" s="55" t="e">
        <f>M33/(J33*12)*10000</f>
        <v>#DIV/0!</v>
      </c>
      <c r="L33" s="520">
        <v>6.77</v>
      </c>
      <c r="M33" s="56">
        <f>M31+M30+M28</f>
        <v>0</v>
      </c>
      <c r="N33" s="54">
        <f>N31+N30+N28</f>
        <v>0</v>
      </c>
      <c r="O33" s="55" t="e">
        <f>P33/(N33*12)*10000</f>
        <v>#DIV/0!</v>
      </c>
      <c r="P33" s="56">
        <f>P31+P30+P28</f>
        <v>0</v>
      </c>
      <c r="Q33" s="54">
        <f>Q31+Q30+Q28</f>
        <v>0</v>
      </c>
      <c r="R33" s="55" t="e">
        <f>T33/(Q33*12)*10000</f>
        <v>#DIV/0!</v>
      </c>
      <c r="S33" s="520">
        <v>6.87</v>
      </c>
      <c r="T33" s="56">
        <f>T31+T30+T28</f>
        <v>0</v>
      </c>
      <c r="U33" s="54">
        <f>U31+U30+U28</f>
        <v>0</v>
      </c>
      <c r="V33" s="55" t="e">
        <f>W33/12/U33*10000</f>
        <v>#DIV/0!</v>
      </c>
      <c r="W33" s="56">
        <f>W31+W30+W28</f>
        <v>0</v>
      </c>
      <c r="X33" s="50" t="e">
        <f t="shared" si="6"/>
        <v>#DIV/0!</v>
      </c>
      <c r="Y33" s="528"/>
      <c r="Z33" s="40"/>
      <c r="AA33" s="41"/>
    </row>
    <row r="34" spans="2:27" x14ac:dyDescent="0.25">
      <c r="Q34" s="61"/>
      <c r="U34" s="40"/>
      <c r="W34" s="62"/>
    </row>
    <row r="35" spans="2:27" x14ac:dyDescent="0.25">
      <c r="Q35" s="64"/>
      <c r="T35" s="64"/>
      <c r="U35" s="64"/>
      <c r="V35" s="64"/>
      <c r="W35" s="64"/>
    </row>
    <row r="36" spans="2:27" x14ac:dyDescent="0.25">
      <c r="U36" s="61"/>
      <c r="W36" s="64"/>
    </row>
  </sheetData>
  <mergeCells count="16">
    <mergeCell ref="X1:X2"/>
    <mergeCell ref="B8:C8"/>
    <mergeCell ref="B11:C11"/>
    <mergeCell ref="B14:C14"/>
    <mergeCell ref="B18:C18"/>
    <mergeCell ref="B1:C2"/>
    <mergeCell ref="D1:F1"/>
    <mergeCell ref="G1:I1"/>
    <mergeCell ref="J1:M1"/>
    <mergeCell ref="N1:P1"/>
    <mergeCell ref="B22:C22"/>
    <mergeCell ref="B28:C28"/>
    <mergeCell ref="B32:C32"/>
    <mergeCell ref="B33:C33"/>
    <mergeCell ref="U1:W1"/>
    <mergeCell ref="Q1:T1"/>
  </mergeCells>
  <phoneticPr fontId="6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38"/>
  <sheetViews>
    <sheetView zoomScale="70" zoomScaleNormal="70"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AG27" sqref="AG27"/>
    </sheetView>
  </sheetViews>
  <sheetFormatPr defaultColWidth="8.88671875" defaultRowHeight="15.6" x14ac:dyDescent="0.35"/>
  <cols>
    <col min="1" max="1" width="5.44140625" style="65" customWidth="1"/>
    <col min="2" max="2" width="4" style="88" bestFit="1" customWidth="1"/>
    <col min="3" max="3" width="21" style="88" customWidth="1"/>
    <col min="4" max="4" width="10.21875" style="89" hidden="1" customWidth="1"/>
    <col min="5" max="5" width="12.44140625" style="60" hidden="1" customWidth="1"/>
    <col min="6" max="6" width="9.33203125" style="60" hidden="1" customWidth="1"/>
    <col min="7" max="7" width="10.21875" style="89" hidden="1" customWidth="1"/>
    <col min="8" max="8" width="12.44140625" style="60" hidden="1" customWidth="1"/>
    <col min="9" max="9" width="9.33203125" style="60" hidden="1" customWidth="1"/>
    <col min="10" max="10" width="10.21875" style="89" bestFit="1" customWidth="1"/>
    <col min="11" max="11" width="12.44140625" style="60" bestFit="1" customWidth="1"/>
    <col min="12" max="12" width="9.33203125" style="60" bestFit="1" customWidth="1"/>
    <col min="13" max="13" width="10.21875" style="89" bestFit="1" customWidth="1"/>
    <col min="14" max="14" width="12.44140625" style="60" bestFit="1" customWidth="1"/>
    <col min="15" max="15" width="9.33203125" style="60" bestFit="1" customWidth="1"/>
    <col min="16" max="16" width="11.77734375" style="65" customWidth="1"/>
    <col min="17" max="17" width="12.88671875" style="65" customWidth="1"/>
    <col min="18" max="18" width="13.21875" style="65" bestFit="1" customWidth="1"/>
    <col min="19" max="21" width="13.21875" style="65" customWidth="1"/>
    <col min="22" max="22" width="12.88671875" style="65" customWidth="1"/>
    <col min="23" max="23" width="16.44140625" style="91" customWidth="1"/>
    <col min="24" max="25" width="12.77734375" style="92" customWidth="1"/>
    <col min="26" max="26" width="10.33203125" style="92" customWidth="1"/>
    <col min="27" max="27" width="10.33203125" style="92" hidden="1" customWidth="1"/>
    <col min="28" max="28" width="10.44140625" style="92" bestFit="1" customWidth="1"/>
    <col min="29" max="29" width="13.6640625" style="94" customWidth="1"/>
    <col min="30" max="16384" width="8.88671875" style="65"/>
  </cols>
  <sheetData>
    <row r="1" spans="2:29" ht="16.2" customHeight="1" x14ac:dyDescent="0.35">
      <c r="B1" s="656" t="s">
        <v>288</v>
      </c>
      <c r="C1" s="656"/>
      <c r="D1" s="656" t="s">
        <v>289</v>
      </c>
      <c r="E1" s="656"/>
      <c r="F1" s="656"/>
      <c r="G1" s="656" t="s">
        <v>290</v>
      </c>
      <c r="H1" s="656"/>
      <c r="I1" s="656"/>
      <c r="J1" s="656" t="s">
        <v>291</v>
      </c>
      <c r="K1" s="656"/>
      <c r="L1" s="656"/>
      <c r="M1" s="656" t="s">
        <v>292</v>
      </c>
      <c r="N1" s="656"/>
      <c r="O1" s="656"/>
      <c r="P1" s="659" t="s">
        <v>293</v>
      </c>
      <c r="Q1" s="660"/>
      <c r="R1" s="660"/>
      <c r="S1" s="660"/>
      <c r="T1" s="660"/>
      <c r="U1" s="661"/>
      <c r="V1" s="655" t="s">
        <v>294</v>
      </c>
      <c r="W1" s="655"/>
      <c r="X1" s="655"/>
      <c r="Y1" s="655"/>
      <c r="Z1" s="655"/>
      <c r="AA1" s="655"/>
      <c r="AB1" s="655"/>
      <c r="AC1" s="657" t="s">
        <v>295</v>
      </c>
    </row>
    <row r="2" spans="2:29" ht="43.2" customHeight="1" x14ac:dyDescent="0.35">
      <c r="B2" s="656"/>
      <c r="C2" s="656"/>
      <c r="D2" s="66" t="s">
        <v>296</v>
      </c>
      <c r="E2" s="483" t="s">
        <v>297</v>
      </c>
      <c r="F2" s="483" t="s">
        <v>298</v>
      </c>
      <c r="G2" s="66" t="s">
        <v>296</v>
      </c>
      <c r="H2" s="483" t="s">
        <v>297</v>
      </c>
      <c r="I2" s="483" t="s">
        <v>298</v>
      </c>
      <c r="J2" s="66" t="s">
        <v>296</v>
      </c>
      <c r="K2" s="483" t="s">
        <v>297</v>
      </c>
      <c r="L2" s="483" t="s">
        <v>298</v>
      </c>
      <c r="M2" s="66" t="s">
        <v>296</v>
      </c>
      <c r="N2" s="483" t="s">
        <v>297</v>
      </c>
      <c r="O2" s="483" t="s">
        <v>298</v>
      </c>
      <c r="P2" s="66" t="s">
        <v>296</v>
      </c>
      <c r="Q2" s="483" t="s">
        <v>297</v>
      </c>
      <c r="R2" s="483" t="s">
        <v>299</v>
      </c>
      <c r="S2" s="483" t="s">
        <v>300</v>
      </c>
      <c r="T2" s="483" t="s">
        <v>301</v>
      </c>
      <c r="U2" s="483" t="s">
        <v>298</v>
      </c>
      <c r="V2" s="66" t="s">
        <v>296</v>
      </c>
      <c r="W2" s="483" t="s">
        <v>297</v>
      </c>
      <c r="X2" s="483" t="s">
        <v>299</v>
      </c>
      <c r="Y2" s="483" t="s">
        <v>320</v>
      </c>
      <c r="Z2" s="483" t="s">
        <v>301</v>
      </c>
      <c r="AA2" s="483" t="s">
        <v>302</v>
      </c>
      <c r="AB2" s="483" t="s">
        <v>298</v>
      </c>
      <c r="AC2" s="658"/>
    </row>
    <row r="3" spans="2:29" ht="16.2" x14ac:dyDescent="0.35">
      <c r="B3" s="34">
        <v>1</v>
      </c>
      <c r="C3" s="35" t="s">
        <v>30</v>
      </c>
      <c r="D3" s="38">
        <v>770</v>
      </c>
      <c r="E3" s="37">
        <v>14.146136363636364</v>
      </c>
      <c r="F3" s="37">
        <v>13.07103</v>
      </c>
      <c r="G3" s="38">
        <v>770</v>
      </c>
      <c r="H3" s="37">
        <v>13.374086580086578</v>
      </c>
      <c r="I3" s="67">
        <v>12.357656</v>
      </c>
      <c r="J3" s="38"/>
      <c r="K3" s="67"/>
      <c r="L3" s="67"/>
      <c r="M3" s="38"/>
      <c r="N3" s="67"/>
      <c r="O3" s="68"/>
      <c r="P3" s="45"/>
      <c r="Q3" s="69"/>
      <c r="R3" s="69"/>
      <c r="S3" s="69"/>
      <c r="T3" s="69"/>
      <c r="U3" s="69"/>
      <c r="V3" s="43"/>
      <c r="W3" s="69"/>
      <c r="X3" s="67"/>
      <c r="Y3" s="67"/>
      <c r="Z3" s="69"/>
      <c r="AA3" s="69"/>
      <c r="AB3" s="69"/>
      <c r="AC3" s="52"/>
    </row>
    <row r="4" spans="2:29" ht="16.2" x14ac:dyDescent="0.35">
      <c r="B4" s="34">
        <v>2</v>
      </c>
      <c r="C4" s="35" t="s">
        <v>31</v>
      </c>
      <c r="D4" s="38">
        <v>723</v>
      </c>
      <c r="E4" s="37">
        <v>19.120792992162283</v>
      </c>
      <c r="F4" s="37">
        <v>16.589199999999998</v>
      </c>
      <c r="G4" s="38">
        <v>700</v>
      </c>
      <c r="H4" s="37">
        <v>53.297619047619044</v>
      </c>
      <c r="I4" s="67">
        <v>44.769999999999996</v>
      </c>
      <c r="J4" s="38"/>
      <c r="K4" s="67"/>
      <c r="L4" s="67"/>
      <c r="M4" s="38"/>
      <c r="N4" s="67"/>
      <c r="O4" s="68"/>
      <c r="P4" s="45"/>
      <c r="Q4" s="69"/>
      <c r="R4" s="69"/>
      <c r="S4" s="69"/>
      <c r="T4" s="69"/>
      <c r="U4" s="69"/>
      <c r="V4" s="43"/>
      <c r="W4" s="69"/>
      <c r="X4" s="67"/>
      <c r="Y4" s="67"/>
      <c r="Z4" s="69"/>
      <c r="AA4" s="69"/>
      <c r="AB4" s="69"/>
      <c r="AC4" s="52"/>
    </row>
    <row r="5" spans="2:29" ht="16.2" x14ac:dyDescent="0.35">
      <c r="B5" s="34">
        <v>3</v>
      </c>
      <c r="C5" s="35" t="s">
        <v>32</v>
      </c>
      <c r="D5" s="38">
        <v>1421</v>
      </c>
      <c r="E5" s="37">
        <v>5.8082922824302123</v>
      </c>
      <c r="F5" s="37">
        <v>9.9042999999999992</v>
      </c>
      <c r="G5" s="38">
        <v>1421</v>
      </c>
      <c r="H5" s="37">
        <v>12.303542106497773</v>
      </c>
      <c r="I5" s="67">
        <v>20.98</v>
      </c>
      <c r="J5" s="38"/>
      <c r="K5" s="67"/>
      <c r="L5" s="67"/>
      <c r="M5" s="38"/>
      <c r="N5" s="67"/>
      <c r="O5" s="68"/>
      <c r="P5" s="45"/>
      <c r="Q5" s="69"/>
      <c r="R5" s="69"/>
      <c r="S5" s="69"/>
      <c r="T5" s="69"/>
      <c r="U5" s="69"/>
      <c r="V5" s="43"/>
      <c r="W5" s="69"/>
      <c r="X5" s="67"/>
      <c r="Y5" s="67"/>
      <c r="Z5" s="69"/>
      <c r="AA5" s="69"/>
      <c r="AB5" s="69"/>
      <c r="AC5" s="52"/>
    </row>
    <row r="6" spans="2:29" ht="16.2" x14ac:dyDescent="0.35">
      <c r="B6" s="34">
        <v>4</v>
      </c>
      <c r="C6" s="35" t="s">
        <v>33</v>
      </c>
      <c r="D6" s="38">
        <v>260</v>
      </c>
      <c r="E6" s="37">
        <v>22.948717948717945</v>
      </c>
      <c r="F6" s="37">
        <v>7.1599999999999993</v>
      </c>
      <c r="G6" s="38">
        <v>260</v>
      </c>
      <c r="H6" s="37">
        <v>22.019230769230774</v>
      </c>
      <c r="I6" s="67">
        <v>6.870000000000001</v>
      </c>
      <c r="J6" s="38"/>
      <c r="K6" s="67"/>
      <c r="L6" s="67"/>
      <c r="M6" s="38"/>
      <c r="N6" s="67"/>
      <c r="O6" s="68"/>
      <c r="P6" s="45"/>
      <c r="Q6" s="69"/>
      <c r="R6" s="69"/>
      <c r="S6" s="69"/>
      <c r="T6" s="69"/>
      <c r="U6" s="69"/>
      <c r="V6" s="43"/>
      <c r="W6" s="69"/>
      <c r="X6" s="67"/>
      <c r="Y6" s="67"/>
      <c r="Z6" s="69"/>
      <c r="AA6" s="69"/>
      <c r="AB6" s="69"/>
      <c r="AC6" s="52"/>
    </row>
    <row r="7" spans="2:29" ht="16.2" x14ac:dyDescent="0.35">
      <c r="B7" s="34">
        <v>5</v>
      </c>
      <c r="C7" s="46" t="s">
        <v>34</v>
      </c>
      <c r="D7" s="38">
        <v>1048</v>
      </c>
      <c r="E7" s="37">
        <v>5.2162243200000002</v>
      </c>
      <c r="F7" s="37">
        <v>6.5599237048320003</v>
      </c>
      <c r="G7" s="38">
        <v>1274</v>
      </c>
      <c r="H7" s="37">
        <v>4.4334583333333342</v>
      </c>
      <c r="I7" s="67">
        <v>6.7778711000000014</v>
      </c>
      <c r="J7" s="38"/>
      <c r="K7" s="67"/>
      <c r="L7" s="67"/>
      <c r="M7" s="38"/>
      <c r="N7" s="67"/>
      <c r="O7" s="68"/>
      <c r="P7" s="45"/>
      <c r="Q7" s="69"/>
      <c r="R7" s="69"/>
      <c r="S7" s="69"/>
      <c r="T7" s="69"/>
      <c r="U7" s="69"/>
      <c r="V7" s="43"/>
      <c r="W7" s="69"/>
      <c r="X7" s="67"/>
      <c r="Y7" s="67"/>
      <c r="Z7" s="69"/>
      <c r="AA7" s="69"/>
      <c r="AB7" s="69"/>
      <c r="AC7" s="52"/>
    </row>
    <row r="8" spans="2:29" s="77" customFormat="1" ht="16.2" x14ac:dyDescent="0.4">
      <c r="B8" s="653" t="s">
        <v>303</v>
      </c>
      <c r="C8" s="654"/>
      <c r="D8" s="72">
        <f>SUM(D3:D7)</f>
        <v>4222</v>
      </c>
      <c r="E8" s="73">
        <f>F8/D8/12*10000</f>
        <v>10.517222032376441</v>
      </c>
      <c r="F8" s="73">
        <f t="shared" ref="F8" si="0">SUM(F3:F7)</f>
        <v>53.284453704831996</v>
      </c>
      <c r="G8" s="72">
        <f>SUM(G3:G7)</f>
        <v>4425</v>
      </c>
      <c r="H8" s="73">
        <f>I8/G8/12*10000</f>
        <v>17.279760282485874</v>
      </c>
      <c r="I8" s="74">
        <f>SUM(I3:I7)</f>
        <v>91.755527099999995</v>
      </c>
      <c r="J8" s="72">
        <f>SUM(J3:J7)</f>
        <v>0</v>
      </c>
      <c r="K8" s="74" t="e">
        <f>L8*10000/12/J8</f>
        <v>#DIV/0!</v>
      </c>
      <c r="L8" s="74">
        <f>SUM(L3:L7)</f>
        <v>0</v>
      </c>
      <c r="M8" s="72">
        <f>SUM(M3:M7)</f>
        <v>0</v>
      </c>
      <c r="N8" s="74" t="e">
        <f>O8/M8/12*10000</f>
        <v>#DIV/0!</v>
      </c>
      <c r="O8" s="74">
        <f>SUM(O3:O7)</f>
        <v>0</v>
      </c>
      <c r="P8" s="75">
        <f>SUM(P3:P7)</f>
        <v>0</v>
      </c>
      <c r="Q8" s="76" t="e">
        <f t="shared" ref="Q8:Q28" si="1">R8*10000/P8/12</f>
        <v>#DIV/0!</v>
      </c>
      <c r="R8" s="76">
        <f>SUM(R3:R7)</f>
        <v>0</v>
      </c>
      <c r="S8" s="76">
        <f>SUM(S3:S7)</f>
        <v>0</v>
      </c>
      <c r="T8" s="76">
        <f t="shared" ref="T8" si="2">SUM(T3:T7)</f>
        <v>0</v>
      </c>
      <c r="U8" s="76">
        <f t="shared" ref="U8:U33" si="3">T8+S8+R8</f>
        <v>0</v>
      </c>
      <c r="V8" s="75">
        <f>SUM(V3:V7)</f>
        <v>0</v>
      </c>
      <c r="W8" s="76" t="e">
        <f t="shared" ref="W8:W22" si="4">X8*10000/V8/12</f>
        <v>#DIV/0!</v>
      </c>
      <c r="X8" s="76">
        <f t="shared" ref="X8:AA8" si="5">SUM(X3:X7)</f>
        <v>0</v>
      </c>
      <c r="Y8" s="76">
        <f t="shared" si="5"/>
        <v>0</v>
      </c>
      <c r="Z8" s="76">
        <f t="shared" si="5"/>
        <v>0</v>
      </c>
      <c r="AA8" s="76">
        <f t="shared" si="5"/>
        <v>0</v>
      </c>
      <c r="AB8" s="76">
        <f t="shared" ref="AB8:AB28" si="6">Z8+X8+Y8</f>
        <v>0</v>
      </c>
      <c r="AC8" s="58" t="e">
        <f t="shared" ref="AC8:AC33" si="7">(AB8-U8)/U8</f>
        <v>#DIV/0!</v>
      </c>
    </row>
    <row r="9" spans="2:29" ht="16.2" x14ac:dyDescent="0.35">
      <c r="B9" s="34">
        <v>6</v>
      </c>
      <c r="C9" s="35" t="s">
        <v>35</v>
      </c>
      <c r="D9" s="38">
        <v>429</v>
      </c>
      <c r="E9" s="37">
        <v>92.664918414918418</v>
      </c>
      <c r="F9" s="37">
        <v>47.703900000000004</v>
      </c>
      <c r="G9" s="38">
        <v>398</v>
      </c>
      <c r="H9" s="37">
        <v>87.981574539363478</v>
      </c>
      <c r="I9" s="67">
        <v>42.019999999999996</v>
      </c>
      <c r="J9" s="38"/>
      <c r="K9" s="67"/>
      <c r="L9" s="67"/>
      <c r="M9" s="38"/>
      <c r="N9" s="67"/>
      <c r="O9" s="68"/>
      <c r="P9" s="45"/>
      <c r="Q9" s="69"/>
      <c r="R9" s="69"/>
      <c r="S9" s="69"/>
      <c r="T9" s="69"/>
      <c r="U9" s="69"/>
      <c r="V9" s="43"/>
      <c r="W9" s="69"/>
      <c r="X9" s="67"/>
      <c r="Y9" s="67"/>
      <c r="Z9" s="69"/>
      <c r="AA9" s="69"/>
      <c r="AB9" s="69"/>
      <c r="AC9" s="52"/>
    </row>
    <row r="10" spans="2:29" ht="16.2" x14ac:dyDescent="0.35">
      <c r="B10" s="34">
        <v>7</v>
      </c>
      <c r="C10" s="46" t="s">
        <v>36</v>
      </c>
      <c r="D10" s="38">
        <v>838</v>
      </c>
      <c r="E10" s="37">
        <v>5.2162243199999994</v>
      </c>
      <c r="F10" s="37">
        <v>5.2454351761919993</v>
      </c>
      <c r="G10" s="38">
        <v>948</v>
      </c>
      <c r="H10" s="37">
        <v>4.4334583333333351</v>
      </c>
      <c r="I10" s="67">
        <v>5.0435022000000016</v>
      </c>
      <c r="J10" s="38"/>
      <c r="K10" s="67"/>
      <c r="L10" s="67"/>
      <c r="M10" s="38"/>
      <c r="N10" s="67"/>
      <c r="O10" s="68"/>
      <c r="P10" s="45"/>
      <c r="Q10" s="69"/>
      <c r="R10" s="69"/>
      <c r="S10" s="69"/>
      <c r="T10" s="69"/>
      <c r="U10" s="69"/>
      <c r="V10" s="43"/>
      <c r="W10" s="69"/>
      <c r="X10" s="67"/>
      <c r="Y10" s="67"/>
      <c r="Z10" s="69"/>
      <c r="AA10" s="69"/>
      <c r="AB10" s="69"/>
      <c r="AC10" s="52"/>
    </row>
    <row r="11" spans="2:29" s="77" customFormat="1" ht="16.2" x14ac:dyDescent="0.4">
      <c r="B11" s="653" t="s">
        <v>304</v>
      </c>
      <c r="C11" s="654"/>
      <c r="D11" s="72">
        <f>SUM(D9:D10)</f>
        <v>1267</v>
      </c>
      <c r="E11" s="73">
        <f>F11/D11/12*10000</f>
        <v>34.825924214806626</v>
      </c>
      <c r="F11" s="73">
        <f t="shared" ref="F11" si="8">SUM(F9:F10)</f>
        <v>52.949335176192001</v>
      </c>
      <c r="G11" s="72">
        <f>SUM(G9:G10)</f>
        <v>1346</v>
      </c>
      <c r="H11" s="73">
        <f>I11/G11/12*10000</f>
        <v>29.137879024269438</v>
      </c>
      <c r="I11" s="74">
        <f t="shared" ref="I11:J11" si="9">SUM(I9:I10)</f>
        <v>47.063502199999995</v>
      </c>
      <c r="J11" s="72">
        <f t="shared" si="9"/>
        <v>0</v>
      </c>
      <c r="K11" s="74" t="e">
        <f t="shared" ref="K11:K18" si="10">L11*10000/12/J11</f>
        <v>#DIV/0!</v>
      </c>
      <c r="L11" s="74">
        <f>SUM(L9:L10)</f>
        <v>0</v>
      </c>
      <c r="M11" s="72">
        <f t="shared" ref="M11:AA11" si="11">SUM(M9:M10)</f>
        <v>0</v>
      </c>
      <c r="N11" s="74" t="e">
        <f>O11/M11/12*10000</f>
        <v>#DIV/0!</v>
      </c>
      <c r="O11" s="74">
        <f t="shared" si="11"/>
        <v>0</v>
      </c>
      <c r="P11" s="75">
        <f t="shared" si="11"/>
        <v>0</v>
      </c>
      <c r="Q11" s="76" t="e">
        <f t="shared" si="1"/>
        <v>#DIV/0!</v>
      </c>
      <c r="R11" s="76">
        <f t="shared" si="11"/>
        <v>0</v>
      </c>
      <c r="S11" s="76">
        <f t="shared" si="11"/>
        <v>0</v>
      </c>
      <c r="T11" s="76">
        <f t="shared" si="11"/>
        <v>0</v>
      </c>
      <c r="U11" s="76">
        <f t="shared" si="3"/>
        <v>0</v>
      </c>
      <c r="V11" s="75">
        <f t="shared" si="11"/>
        <v>0</v>
      </c>
      <c r="W11" s="76" t="e">
        <f t="shared" si="4"/>
        <v>#DIV/0!</v>
      </c>
      <c r="X11" s="76">
        <f t="shared" si="11"/>
        <v>0</v>
      </c>
      <c r="Y11" s="76">
        <f t="shared" si="11"/>
        <v>0</v>
      </c>
      <c r="Z11" s="76">
        <f t="shared" si="11"/>
        <v>0</v>
      </c>
      <c r="AA11" s="76">
        <f t="shared" si="11"/>
        <v>0</v>
      </c>
      <c r="AB11" s="76">
        <f t="shared" si="6"/>
        <v>0</v>
      </c>
      <c r="AC11" s="58" t="e">
        <f t="shared" si="7"/>
        <v>#DIV/0!</v>
      </c>
    </row>
    <row r="12" spans="2:29" ht="16.2" x14ac:dyDescent="0.35">
      <c r="B12" s="34">
        <v>8</v>
      </c>
      <c r="C12" s="46" t="s">
        <v>19</v>
      </c>
      <c r="D12" s="38">
        <v>1188</v>
      </c>
      <c r="E12" s="37">
        <v>5.2162243199999994</v>
      </c>
      <c r="F12" s="37">
        <v>7.4362493905919997</v>
      </c>
      <c r="G12" s="38">
        <v>1538</v>
      </c>
      <c r="H12" s="37">
        <v>4.4334583333333351</v>
      </c>
      <c r="I12" s="37">
        <v>8.1823907000000027</v>
      </c>
      <c r="J12" s="38"/>
      <c r="K12" s="67"/>
      <c r="L12" s="67"/>
      <c r="M12" s="38"/>
      <c r="N12" s="67"/>
      <c r="O12" s="68"/>
      <c r="P12" s="45"/>
      <c r="Q12" s="69"/>
      <c r="R12" s="69"/>
      <c r="S12" s="69"/>
      <c r="T12" s="69"/>
      <c r="U12" s="69"/>
      <c r="V12" s="43"/>
      <c r="W12" s="69"/>
      <c r="X12" s="67"/>
      <c r="Y12" s="67"/>
      <c r="Z12" s="69"/>
      <c r="AA12" s="69"/>
      <c r="AB12" s="69"/>
      <c r="AC12" s="52"/>
    </row>
    <row r="13" spans="2:29" ht="16.2" x14ac:dyDescent="0.35">
      <c r="B13" s="34">
        <v>9</v>
      </c>
      <c r="C13" s="35" t="s">
        <v>305</v>
      </c>
      <c r="D13" s="38">
        <v>0</v>
      </c>
      <c r="E13" s="37">
        <v>0</v>
      </c>
      <c r="F13" s="37">
        <v>0</v>
      </c>
      <c r="G13" s="38">
        <v>0</v>
      </c>
      <c r="H13" s="37">
        <v>0</v>
      </c>
      <c r="I13" s="37">
        <v>0</v>
      </c>
      <c r="J13" s="38"/>
      <c r="K13" s="67"/>
      <c r="L13" s="67"/>
      <c r="M13" s="38"/>
      <c r="N13" s="67"/>
      <c r="O13" s="68"/>
      <c r="P13" s="45"/>
      <c r="Q13" s="69"/>
      <c r="R13" s="69"/>
      <c r="S13" s="69"/>
      <c r="T13" s="69"/>
      <c r="U13" s="69"/>
      <c r="V13" s="44"/>
      <c r="W13" s="69"/>
      <c r="X13" s="67"/>
      <c r="Y13" s="67"/>
      <c r="Z13" s="69"/>
      <c r="AA13" s="69"/>
      <c r="AB13" s="69"/>
      <c r="AC13" s="52"/>
    </row>
    <row r="14" spans="2:29" s="77" customFormat="1" ht="16.2" x14ac:dyDescent="0.4">
      <c r="B14" s="653" t="s">
        <v>306</v>
      </c>
      <c r="C14" s="654"/>
      <c r="D14" s="72">
        <f>SUM(D12:D13)</f>
        <v>1188</v>
      </c>
      <c r="E14" s="73">
        <f>F14/D14/12*10000</f>
        <v>5.2162243199999994</v>
      </c>
      <c r="F14" s="73">
        <f t="shared" ref="F14:G14" si="12">SUM(F12:F13)</f>
        <v>7.4362493905919997</v>
      </c>
      <c r="G14" s="72">
        <f t="shared" si="12"/>
        <v>1538</v>
      </c>
      <c r="H14" s="73">
        <f>I14/G14/12*10000</f>
        <v>4.4334583333333351</v>
      </c>
      <c r="I14" s="74">
        <f t="shared" ref="I14:J14" si="13">SUM(I12:I13)</f>
        <v>8.1823907000000027</v>
      </c>
      <c r="J14" s="72">
        <f t="shared" si="13"/>
        <v>0</v>
      </c>
      <c r="K14" s="74" t="e">
        <f t="shared" si="10"/>
        <v>#DIV/0!</v>
      </c>
      <c r="L14" s="74">
        <f t="shared" ref="L14:AA14" si="14">SUM(L12:L13)</f>
        <v>0</v>
      </c>
      <c r="M14" s="72">
        <f t="shared" si="14"/>
        <v>0</v>
      </c>
      <c r="N14" s="74" t="e">
        <f>O14/M14/12*10000</f>
        <v>#DIV/0!</v>
      </c>
      <c r="O14" s="74">
        <f t="shared" si="14"/>
        <v>0</v>
      </c>
      <c r="P14" s="75">
        <f t="shared" si="14"/>
        <v>0</v>
      </c>
      <c r="Q14" s="76" t="e">
        <f t="shared" si="1"/>
        <v>#DIV/0!</v>
      </c>
      <c r="R14" s="76">
        <f t="shared" si="14"/>
        <v>0</v>
      </c>
      <c r="S14" s="76">
        <f t="shared" si="14"/>
        <v>0</v>
      </c>
      <c r="T14" s="76">
        <f t="shared" si="14"/>
        <v>0</v>
      </c>
      <c r="U14" s="76">
        <f t="shared" si="3"/>
        <v>0</v>
      </c>
      <c r="V14" s="75">
        <f t="shared" si="14"/>
        <v>0</v>
      </c>
      <c r="W14" s="76" t="e">
        <f t="shared" si="4"/>
        <v>#DIV/0!</v>
      </c>
      <c r="X14" s="76">
        <f t="shared" si="14"/>
        <v>0</v>
      </c>
      <c r="Y14" s="76">
        <f t="shared" si="14"/>
        <v>0</v>
      </c>
      <c r="Z14" s="76">
        <f>SUM(Z12:Z13)</f>
        <v>0</v>
      </c>
      <c r="AA14" s="76">
        <f t="shared" si="14"/>
        <v>0</v>
      </c>
      <c r="AB14" s="76">
        <f t="shared" si="6"/>
        <v>0</v>
      </c>
      <c r="AC14" s="58" t="e">
        <f t="shared" si="7"/>
        <v>#DIV/0!</v>
      </c>
    </row>
    <row r="15" spans="2:29" ht="16.2" x14ac:dyDescent="0.35">
      <c r="B15" s="34">
        <v>10</v>
      </c>
      <c r="C15" s="35" t="s">
        <v>307</v>
      </c>
      <c r="D15" s="38">
        <v>723</v>
      </c>
      <c r="E15" s="37">
        <v>13.893335638543109</v>
      </c>
      <c r="F15" s="37">
        <v>12.053858</v>
      </c>
      <c r="G15" s="38">
        <v>796</v>
      </c>
      <c r="H15" s="37">
        <v>8.9805485762144048</v>
      </c>
      <c r="I15" s="67">
        <v>8.57822</v>
      </c>
      <c r="J15" s="38"/>
      <c r="K15" s="67"/>
      <c r="L15" s="67"/>
      <c r="M15" s="38"/>
      <c r="N15" s="67"/>
      <c r="O15" s="68"/>
      <c r="P15" s="45"/>
      <c r="Q15" s="69"/>
      <c r="R15" s="69"/>
      <c r="S15" s="69"/>
      <c r="T15" s="69"/>
      <c r="U15" s="69"/>
      <c r="V15" s="43"/>
      <c r="W15" s="69"/>
      <c r="X15" s="67"/>
      <c r="Y15" s="67"/>
      <c r="Z15" s="69"/>
      <c r="AA15" s="69"/>
      <c r="AB15" s="69"/>
      <c r="AC15" s="52"/>
    </row>
    <row r="16" spans="2:29" ht="16.2" x14ac:dyDescent="0.35">
      <c r="B16" s="34">
        <v>11</v>
      </c>
      <c r="C16" s="35" t="s">
        <v>308</v>
      </c>
      <c r="D16" s="38">
        <v>0</v>
      </c>
      <c r="E16" s="37">
        <v>0</v>
      </c>
      <c r="F16" s="37">
        <v>0</v>
      </c>
      <c r="G16" s="38">
        <v>0</v>
      </c>
      <c r="H16" s="37">
        <v>0</v>
      </c>
      <c r="I16" s="67">
        <v>0</v>
      </c>
      <c r="J16" s="38"/>
      <c r="K16" s="67"/>
      <c r="L16" s="67"/>
      <c r="M16" s="38"/>
      <c r="N16" s="67"/>
      <c r="O16" s="68"/>
      <c r="P16" s="45"/>
      <c r="Q16" s="69"/>
      <c r="R16" s="69"/>
      <c r="S16" s="69"/>
      <c r="T16" s="69"/>
      <c r="U16" s="69"/>
      <c r="V16" s="43"/>
      <c r="W16" s="69"/>
      <c r="X16" s="67"/>
      <c r="Y16" s="67"/>
      <c r="Z16" s="69"/>
      <c r="AA16" s="69"/>
      <c r="AB16" s="69"/>
      <c r="AC16" s="39"/>
    </row>
    <row r="17" spans="2:31" ht="16.2" x14ac:dyDescent="0.35">
      <c r="B17" s="34">
        <v>12</v>
      </c>
      <c r="C17" s="35" t="s">
        <v>309</v>
      </c>
      <c r="D17" s="38">
        <v>0</v>
      </c>
      <c r="E17" s="37">
        <v>0</v>
      </c>
      <c r="F17" s="37">
        <v>0</v>
      </c>
      <c r="G17" s="38">
        <v>0</v>
      </c>
      <c r="H17" s="37">
        <v>0</v>
      </c>
      <c r="I17" s="67">
        <v>0</v>
      </c>
      <c r="J17" s="38"/>
      <c r="K17" s="67"/>
      <c r="L17" s="67"/>
      <c r="M17" s="38"/>
      <c r="N17" s="67"/>
      <c r="O17" s="68"/>
      <c r="P17" s="45"/>
      <c r="Q17" s="69"/>
      <c r="R17" s="69"/>
      <c r="S17" s="69"/>
      <c r="T17" s="69"/>
      <c r="U17" s="69"/>
      <c r="V17" s="44"/>
      <c r="W17" s="69"/>
      <c r="X17" s="67"/>
      <c r="Y17" s="67"/>
      <c r="Z17" s="69"/>
      <c r="AA17" s="69"/>
      <c r="AB17" s="69"/>
      <c r="AC17" s="52"/>
    </row>
    <row r="18" spans="2:31" s="77" customFormat="1" ht="16.2" x14ac:dyDescent="0.4">
      <c r="B18" s="653" t="s">
        <v>310</v>
      </c>
      <c r="C18" s="654"/>
      <c r="D18" s="72">
        <f>SUM(D15:D17)</f>
        <v>723</v>
      </c>
      <c r="E18" s="73">
        <f>F18/D18/12*10000</f>
        <v>13.893335638543109</v>
      </c>
      <c r="F18" s="73">
        <f t="shared" ref="F18:G18" si="15">SUM(F15:F17)</f>
        <v>12.053858</v>
      </c>
      <c r="G18" s="72">
        <f t="shared" si="15"/>
        <v>796</v>
      </c>
      <c r="H18" s="73">
        <f>I18/G18/12*10000</f>
        <v>8.9805485762144048</v>
      </c>
      <c r="I18" s="74">
        <f t="shared" ref="I18:J18" si="16">SUM(I15:I17)</f>
        <v>8.57822</v>
      </c>
      <c r="J18" s="72">
        <f t="shared" si="16"/>
        <v>0</v>
      </c>
      <c r="K18" s="74" t="e">
        <f t="shared" si="10"/>
        <v>#DIV/0!</v>
      </c>
      <c r="L18" s="74">
        <f t="shared" ref="L18:M18" si="17">SUM(L15:L17)</f>
        <v>0</v>
      </c>
      <c r="M18" s="72">
        <f t="shared" si="17"/>
        <v>0</v>
      </c>
      <c r="N18" s="74" t="e">
        <f>O18/M18/12*10000</f>
        <v>#DIV/0!</v>
      </c>
      <c r="O18" s="74">
        <f>SUM(O15:O17)</f>
        <v>0</v>
      </c>
      <c r="P18" s="75">
        <f t="shared" ref="P18:AA18" si="18">SUM(P15:P17)</f>
        <v>0</v>
      </c>
      <c r="Q18" s="76" t="e">
        <f t="shared" si="1"/>
        <v>#DIV/0!</v>
      </c>
      <c r="R18" s="76">
        <f t="shared" si="18"/>
        <v>0</v>
      </c>
      <c r="S18" s="76">
        <f t="shared" si="18"/>
        <v>0</v>
      </c>
      <c r="T18" s="76">
        <f t="shared" si="18"/>
        <v>0</v>
      </c>
      <c r="U18" s="76">
        <f t="shared" si="3"/>
        <v>0</v>
      </c>
      <c r="V18" s="75">
        <f t="shared" si="18"/>
        <v>0</v>
      </c>
      <c r="W18" s="76" t="e">
        <f t="shared" si="4"/>
        <v>#DIV/0!</v>
      </c>
      <c r="X18" s="76">
        <f t="shared" si="18"/>
        <v>0</v>
      </c>
      <c r="Y18" s="76">
        <f t="shared" si="18"/>
        <v>0</v>
      </c>
      <c r="Z18" s="76">
        <f t="shared" si="18"/>
        <v>0</v>
      </c>
      <c r="AA18" s="76">
        <f t="shared" si="18"/>
        <v>0</v>
      </c>
      <c r="AB18" s="76">
        <f t="shared" si="6"/>
        <v>0</v>
      </c>
      <c r="AC18" s="58" t="e">
        <f t="shared" si="7"/>
        <v>#DIV/0!</v>
      </c>
    </row>
    <row r="19" spans="2:31" ht="16.2" x14ac:dyDescent="0.35">
      <c r="B19" s="34">
        <v>13</v>
      </c>
      <c r="C19" s="35" t="s">
        <v>38</v>
      </c>
      <c r="D19" s="38">
        <v>0</v>
      </c>
      <c r="E19" s="37">
        <v>0</v>
      </c>
      <c r="F19" s="37">
        <v>0</v>
      </c>
      <c r="G19" s="38">
        <v>0</v>
      </c>
      <c r="H19" s="37">
        <v>0</v>
      </c>
      <c r="I19" s="67">
        <v>0</v>
      </c>
      <c r="J19" s="38"/>
      <c r="K19" s="67"/>
      <c r="L19" s="67"/>
      <c r="M19" s="38"/>
      <c r="N19" s="67"/>
      <c r="O19" s="67"/>
      <c r="P19" s="44"/>
      <c r="Q19" s="69"/>
      <c r="R19" s="69"/>
      <c r="S19" s="69"/>
      <c r="T19" s="69"/>
      <c r="U19" s="69"/>
      <c r="V19" s="69"/>
      <c r="W19" s="69"/>
      <c r="X19" s="67"/>
      <c r="Y19" s="67"/>
      <c r="Z19" s="69"/>
      <c r="AA19" s="69"/>
      <c r="AB19" s="69"/>
      <c r="AC19" s="52"/>
    </row>
    <row r="20" spans="2:31" ht="16.2" x14ac:dyDescent="0.35">
      <c r="B20" s="34">
        <v>14</v>
      </c>
      <c r="C20" s="35" t="s">
        <v>311</v>
      </c>
      <c r="D20" s="38">
        <v>47</v>
      </c>
      <c r="E20" s="37">
        <v>364.36170212765956</v>
      </c>
      <c r="F20" s="37">
        <v>20.55</v>
      </c>
      <c r="G20" s="38">
        <v>0</v>
      </c>
      <c r="H20" s="37">
        <v>0</v>
      </c>
      <c r="I20" s="67">
        <v>62.15</v>
      </c>
      <c r="J20" s="38"/>
      <c r="K20" s="67"/>
      <c r="L20" s="67"/>
      <c r="M20" s="38"/>
      <c r="N20" s="67"/>
      <c r="O20" s="67"/>
      <c r="P20" s="44"/>
      <c r="Q20" s="69"/>
      <c r="R20" s="69"/>
      <c r="S20" s="69"/>
      <c r="T20" s="69"/>
      <c r="U20" s="69"/>
      <c r="V20" s="43"/>
      <c r="W20" s="69"/>
      <c r="X20" s="67"/>
      <c r="Y20" s="67"/>
      <c r="Z20" s="69"/>
      <c r="AA20" s="69"/>
      <c r="AB20" s="69"/>
      <c r="AC20" s="52"/>
    </row>
    <row r="21" spans="2:31" ht="16.2" x14ac:dyDescent="0.35">
      <c r="B21" s="34">
        <v>15</v>
      </c>
      <c r="C21" s="35" t="s">
        <v>312</v>
      </c>
      <c r="D21" s="38">
        <v>1290</v>
      </c>
      <c r="E21" s="37">
        <v>28.662310077519379</v>
      </c>
      <c r="F21" s="37">
        <v>44.369256</v>
      </c>
      <c r="G21" s="38">
        <v>1496</v>
      </c>
      <c r="H21" s="37">
        <v>9.340123663101604</v>
      </c>
      <c r="I21" s="67">
        <v>16.767389999999999</v>
      </c>
      <c r="J21" s="38"/>
      <c r="K21" s="67"/>
      <c r="L21" s="67"/>
      <c r="M21" s="38"/>
      <c r="N21" s="67"/>
      <c r="O21" s="67"/>
      <c r="P21" s="44"/>
      <c r="Q21" s="69"/>
      <c r="R21" s="69"/>
      <c r="S21" s="69"/>
      <c r="T21" s="69"/>
      <c r="U21" s="78"/>
      <c r="V21" s="43"/>
      <c r="W21" s="69"/>
      <c r="X21" s="67"/>
      <c r="Y21" s="67"/>
      <c r="Z21" s="69"/>
      <c r="AA21" s="69"/>
      <c r="AB21" s="78"/>
      <c r="AC21" s="52"/>
    </row>
    <row r="22" spans="2:31" s="77" customFormat="1" ht="16.2" x14ac:dyDescent="0.4">
      <c r="B22" s="653" t="s">
        <v>313</v>
      </c>
      <c r="C22" s="654"/>
      <c r="D22" s="72">
        <f>SUM(D19:D21)</f>
        <v>1337</v>
      </c>
      <c r="E22" s="73">
        <f>F22/D22/12*10000</f>
        <v>40.463261032161562</v>
      </c>
      <c r="F22" s="73">
        <f t="shared" ref="F22:G22" si="19">SUM(F19:F21)</f>
        <v>64.919256000000004</v>
      </c>
      <c r="G22" s="72">
        <f t="shared" si="19"/>
        <v>1496</v>
      </c>
      <c r="H22" s="73">
        <f>I22/G22/12*10000</f>
        <v>43.960221702317291</v>
      </c>
      <c r="I22" s="74">
        <f t="shared" ref="I22:J22" si="20">SUM(I19:I21)</f>
        <v>78.917389999999997</v>
      </c>
      <c r="J22" s="72">
        <f t="shared" si="20"/>
        <v>0</v>
      </c>
      <c r="K22" s="74" t="e">
        <f>L22*10000/12/J22</f>
        <v>#DIV/0!</v>
      </c>
      <c r="L22" s="74">
        <f t="shared" ref="L22:M22" si="21">SUM(L19:L21)</f>
        <v>0</v>
      </c>
      <c r="M22" s="72">
        <f t="shared" si="21"/>
        <v>0</v>
      </c>
      <c r="N22" s="74" t="e">
        <f>O22/M22/12*10000</f>
        <v>#DIV/0!</v>
      </c>
      <c r="O22" s="74">
        <f>SUM(O19:O21)</f>
        <v>0</v>
      </c>
      <c r="P22" s="75">
        <f t="shared" ref="P22:AA22" si="22">SUM(P19:P21)</f>
        <v>0</v>
      </c>
      <c r="Q22" s="76" t="e">
        <f t="shared" si="1"/>
        <v>#DIV/0!</v>
      </c>
      <c r="R22" s="76">
        <f t="shared" si="22"/>
        <v>0</v>
      </c>
      <c r="S22" s="76">
        <f t="shared" si="22"/>
        <v>0</v>
      </c>
      <c r="T22" s="76">
        <f t="shared" si="22"/>
        <v>0</v>
      </c>
      <c r="U22" s="76">
        <f t="shared" si="3"/>
        <v>0</v>
      </c>
      <c r="V22" s="75">
        <f t="shared" si="22"/>
        <v>0</v>
      </c>
      <c r="W22" s="76" t="e">
        <f t="shared" si="4"/>
        <v>#DIV/0!</v>
      </c>
      <c r="X22" s="76">
        <f t="shared" si="22"/>
        <v>0</v>
      </c>
      <c r="Y22" s="76">
        <f t="shared" si="22"/>
        <v>0</v>
      </c>
      <c r="Z22" s="76">
        <f t="shared" si="22"/>
        <v>0</v>
      </c>
      <c r="AA22" s="76">
        <f t="shared" si="22"/>
        <v>0</v>
      </c>
      <c r="AB22" s="76">
        <f t="shared" si="6"/>
        <v>0</v>
      </c>
      <c r="AC22" s="58" t="e">
        <f t="shared" si="7"/>
        <v>#DIV/0!</v>
      </c>
    </row>
    <row r="23" spans="2:31" ht="16.2" x14ac:dyDescent="0.35">
      <c r="B23" s="34">
        <v>16</v>
      </c>
      <c r="C23" s="35" t="s">
        <v>314</v>
      </c>
      <c r="D23" s="38">
        <v>0</v>
      </c>
      <c r="E23" s="37">
        <v>0</v>
      </c>
      <c r="F23" s="37">
        <v>0</v>
      </c>
      <c r="G23" s="38">
        <v>0</v>
      </c>
      <c r="H23" s="37">
        <v>0</v>
      </c>
      <c r="I23" s="67">
        <v>0</v>
      </c>
      <c r="J23" s="38"/>
      <c r="K23" s="67"/>
      <c r="L23" s="67"/>
      <c r="M23" s="38"/>
      <c r="N23" s="67"/>
      <c r="O23" s="68"/>
      <c r="P23" s="45"/>
      <c r="Q23" s="69"/>
      <c r="R23" s="69"/>
      <c r="S23" s="69"/>
      <c r="T23" s="69"/>
      <c r="U23" s="69"/>
      <c r="V23" s="44"/>
      <c r="W23" s="69"/>
      <c r="X23" s="67"/>
      <c r="Y23" s="67"/>
      <c r="Z23" s="69"/>
      <c r="AA23" s="69"/>
      <c r="AB23" s="69"/>
      <c r="AC23" s="52"/>
    </row>
    <row r="24" spans="2:31" ht="16.2" x14ac:dyDescent="0.35">
      <c r="B24" s="34">
        <v>17</v>
      </c>
      <c r="C24" s="35" t="s">
        <v>315</v>
      </c>
      <c r="D24" s="38">
        <v>196</v>
      </c>
      <c r="E24" s="37">
        <v>8.0782312925170068</v>
      </c>
      <c r="F24" s="37">
        <v>1.9</v>
      </c>
      <c r="G24" s="38">
        <v>196</v>
      </c>
      <c r="H24" s="37">
        <v>30.187074829931969</v>
      </c>
      <c r="I24" s="67">
        <v>7.1</v>
      </c>
      <c r="J24" s="38"/>
      <c r="K24" s="67"/>
      <c r="L24" s="67"/>
      <c r="M24" s="38"/>
      <c r="N24" s="67"/>
      <c r="O24" s="68"/>
      <c r="P24" s="45"/>
      <c r="Q24" s="69"/>
      <c r="R24" s="69"/>
      <c r="S24" s="69"/>
      <c r="T24" s="69"/>
      <c r="U24" s="69"/>
      <c r="V24" s="44"/>
      <c r="W24" s="69"/>
      <c r="X24" s="67"/>
      <c r="Y24" s="67"/>
      <c r="Z24" s="69"/>
      <c r="AA24" s="69"/>
      <c r="AB24" s="69"/>
      <c r="AC24" s="52"/>
    </row>
    <row r="25" spans="2:31" ht="16.2" x14ac:dyDescent="0.35">
      <c r="B25" s="34">
        <v>18</v>
      </c>
      <c r="C25" s="46" t="s">
        <v>316</v>
      </c>
      <c r="D25" s="38">
        <v>51</v>
      </c>
      <c r="E25" s="37">
        <v>5.2162243199999994</v>
      </c>
      <c r="F25" s="37">
        <v>0.31923292838399997</v>
      </c>
      <c r="G25" s="38">
        <v>44</v>
      </c>
      <c r="H25" s="37">
        <v>4.4334583333333351</v>
      </c>
      <c r="I25" s="67">
        <v>0.23408660000000006</v>
      </c>
      <c r="J25" s="38"/>
      <c r="K25" s="67"/>
      <c r="L25" s="67"/>
      <c r="M25" s="38"/>
      <c r="N25" s="67"/>
      <c r="O25" s="68"/>
      <c r="P25" s="45"/>
      <c r="Q25" s="69"/>
      <c r="R25" s="69"/>
      <c r="S25" s="69"/>
      <c r="T25" s="69"/>
      <c r="U25" s="69"/>
      <c r="V25" s="43"/>
      <c r="W25" s="69"/>
      <c r="X25" s="67"/>
      <c r="Y25" s="67"/>
      <c r="Z25" s="69"/>
      <c r="AA25" s="69"/>
      <c r="AB25" s="69"/>
      <c r="AC25" s="52"/>
    </row>
    <row r="26" spans="2:31" ht="16.2" x14ac:dyDescent="0.35">
      <c r="B26" s="34">
        <v>19</v>
      </c>
      <c r="C26" s="35" t="s">
        <v>317</v>
      </c>
      <c r="D26" s="38">
        <v>0</v>
      </c>
      <c r="E26" s="37">
        <v>0</v>
      </c>
      <c r="F26" s="37">
        <v>0</v>
      </c>
      <c r="G26" s="38">
        <v>0</v>
      </c>
      <c r="H26" s="37">
        <v>0</v>
      </c>
      <c r="I26" s="67">
        <v>0</v>
      </c>
      <c r="J26" s="38"/>
      <c r="K26" s="67"/>
      <c r="L26" s="67"/>
      <c r="M26" s="38"/>
      <c r="N26" s="67"/>
      <c r="O26" s="68"/>
      <c r="P26" s="45"/>
      <c r="Q26" s="69"/>
      <c r="R26" s="69"/>
      <c r="S26" s="69"/>
      <c r="T26" s="69"/>
      <c r="U26" s="69"/>
      <c r="V26" s="44"/>
      <c r="W26" s="69"/>
      <c r="X26" s="67"/>
      <c r="Y26" s="67"/>
      <c r="Z26" s="69"/>
      <c r="AA26" s="69"/>
      <c r="AB26" s="69"/>
      <c r="AC26" s="52"/>
    </row>
    <row r="27" spans="2:31" ht="16.2" x14ac:dyDescent="0.35">
      <c r="B27" s="34">
        <v>20</v>
      </c>
      <c r="C27" s="35" t="s">
        <v>318</v>
      </c>
      <c r="D27" s="38">
        <v>0</v>
      </c>
      <c r="E27" s="37">
        <v>0</v>
      </c>
      <c r="F27" s="37">
        <v>0</v>
      </c>
      <c r="G27" s="38">
        <v>0</v>
      </c>
      <c r="H27" s="37">
        <v>0</v>
      </c>
      <c r="I27" s="67">
        <v>0</v>
      </c>
      <c r="J27" s="38"/>
      <c r="K27" s="67"/>
      <c r="L27" s="67"/>
      <c r="M27" s="38"/>
      <c r="N27" s="67"/>
      <c r="O27" s="68"/>
      <c r="P27" s="45"/>
      <c r="Q27" s="69"/>
      <c r="R27" s="69"/>
      <c r="S27" s="69"/>
      <c r="T27" s="69"/>
      <c r="U27" s="69"/>
      <c r="V27" s="44"/>
      <c r="W27" s="69"/>
      <c r="X27" s="67"/>
      <c r="Y27" s="67"/>
      <c r="Z27" s="69"/>
      <c r="AA27" s="69"/>
      <c r="AB27" s="69"/>
      <c r="AC27" s="52"/>
    </row>
    <row r="28" spans="2:31" s="77" customFormat="1" ht="16.2" customHeight="1" x14ac:dyDescent="0.4">
      <c r="B28" s="638" t="s">
        <v>322</v>
      </c>
      <c r="C28" s="638"/>
      <c r="D28" s="79">
        <f>SUM(D23:D27)+D22+D18+D14+D11+D8</f>
        <v>8984</v>
      </c>
      <c r="E28" s="80">
        <f>F28*10000/12/D28</f>
        <v>17.889431693380825</v>
      </c>
      <c r="F28" s="81">
        <f>SUM(F23:F27)+F22+F18+F14+F11+F8</f>
        <v>192.86238520000001</v>
      </c>
      <c r="G28" s="79">
        <f>SUM(G23:G27)+G22+G18+G14+G11+G8</f>
        <v>9841</v>
      </c>
      <c r="H28" s="80">
        <f>I28*10000/12/G28</f>
        <v>20.478196372319889</v>
      </c>
      <c r="I28" s="81">
        <f>SUM(I23:I27)+I22+I18+I14+I11+I8</f>
        <v>241.8311166</v>
      </c>
      <c r="J28" s="79">
        <f>SUM(J23:J27)+J22+J18+J14+J11+J8</f>
        <v>0</v>
      </c>
      <c r="K28" s="82" t="e">
        <f>L28*10000/12/J28</f>
        <v>#DIV/0!</v>
      </c>
      <c r="L28" s="81">
        <f>SUM(L23:L27)+L22+L18+L14+L11+L8</f>
        <v>0</v>
      </c>
      <c r="M28" s="79">
        <f>SUM(M23:M27)+M22+M18+M14+M11+M8</f>
        <v>0</v>
      </c>
      <c r="N28" s="82" t="e">
        <f>O28/M28/12*10000</f>
        <v>#DIV/0!</v>
      </c>
      <c r="O28" s="81">
        <f>SUM(O23:O27)+O22+O18+O14+O11+O8</f>
        <v>0</v>
      </c>
      <c r="P28" s="83">
        <f>SUM(P23:P27)+P22+P18+P14+P11+P8</f>
        <v>0</v>
      </c>
      <c r="Q28" s="84" t="e">
        <f t="shared" si="1"/>
        <v>#DIV/0!</v>
      </c>
      <c r="R28" s="85">
        <f>SUM(R23:R27)+R22+R18+R14+R11+R8</f>
        <v>0</v>
      </c>
      <c r="S28" s="76">
        <f>SUM(S23:S27)+S22+S18+S14+S11+S8</f>
        <v>0</v>
      </c>
      <c r="T28" s="76">
        <f>SUM(T23:T27)+T22+T18+T14+T11+T8</f>
        <v>0</v>
      </c>
      <c r="U28" s="85">
        <f t="shared" si="3"/>
        <v>0</v>
      </c>
      <c r="V28" s="83">
        <f>SUM(V23:V27)+V22+V18+V14+V11+V8</f>
        <v>0</v>
      </c>
      <c r="W28" s="84" t="e">
        <f>X28*10000/V28/12</f>
        <v>#DIV/0!</v>
      </c>
      <c r="X28" s="85">
        <f>SUM(X23:X27)+X22+X18+X14+X11+X8</f>
        <v>0</v>
      </c>
      <c r="Y28" s="76">
        <f>SUM(Y23:Y27)+Y22+Y18+Y14+Y11+Y8</f>
        <v>0</v>
      </c>
      <c r="Z28" s="76">
        <f>SUM(Z23:Z27)+Z22+Z18+Z14+Z11+Z8</f>
        <v>0</v>
      </c>
      <c r="AA28" s="76">
        <f>SUM(AA23:AA27)+AA22+AA18+AA14+AA11+AA8</f>
        <v>0</v>
      </c>
      <c r="AB28" s="85">
        <f t="shared" si="6"/>
        <v>0</v>
      </c>
      <c r="AC28" s="58" t="e">
        <f>(AB28-U28)/U28</f>
        <v>#DIV/0!</v>
      </c>
    </row>
    <row r="29" spans="2:31" ht="16.2" x14ac:dyDescent="0.35">
      <c r="B29" s="34">
        <v>21</v>
      </c>
      <c r="C29" s="35" t="s">
        <v>41</v>
      </c>
      <c r="D29" s="38">
        <v>0</v>
      </c>
      <c r="E29" s="37">
        <v>0</v>
      </c>
      <c r="F29" s="37">
        <v>0</v>
      </c>
      <c r="G29" s="38">
        <v>0</v>
      </c>
      <c r="H29" s="37">
        <v>0</v>
      </c>
      <c r="I29" s="67">
        <v>0</v>
      </c>
      <c r="J29" s="38"/>
      <c r="K29" s="67"/>
      <c r="L29" s="67"/>
      <c r="M29" s="38"/>
      <c r="N29" s="67"/>
      <c r="O29" s="68"/>
      <c r="P29" s="45"/>
      <c r="Q29" s="69"/>
      <c r="R29" s="69"/>
      <c r="S29" s="69"/>
      <c r="T29" s="69"/>
      <c r="U29" s="69"/>
      <c r="V29" s="44"/>
      <c r="W29" s="69"/>
      <c r="X29" s="67"/>
      <c r="Y29" s="67"/>
      <c r="Z29" s="69"/>
      <c r="AA29" s="69"/>
      <c r="AB29" s="69"/>
      <c r="AC29" s="52"/>
      <c r="AE29" s="86"/>
    </row>
    <row r="30" spans="2:31" ht="16.2" x14ac:dyDescent="0.35">
      <c r="B30" s="34">
        <v>22</v>
      </c>
      <c r="C30" s="35" t="s">
        <v>17</v>
      </c>
      <c r="D30" s="38">
        <v>880</v>
      </c>
      <c r="E30" s="37">
        <v>11.363636363636362</v>
      </c>
      <c r="F30" s="37">
        <v>12</v>
      </c>
      <c r="G30" s="38">
        <v>884</v>
      </c>
      <c r="H30" s="37">
        <v>12.254901960784315</v>
      </c>
      <c r="I30" s="67">
        <v>13</v>
      </c>
      <c r="J30" s="38"/>
      <c r="K30" s="67"/>
      <c r="L30" s="67"/>
      <c r="M30" s="38"/>
      <c r="N30" s="67"/>
      <c r="O30" s="67"/>
      <c r="P30" s="45"/>
      <c r="Q30" s="69"/>
      <c r="R30" s="69"/>
      <c r="S30" s="69"/>
      <c r="T30" s="69"/>
      <c r="U30" s="69"/>
      <c r="V30" s="43"/>
      <c r="W30" s="69"/>
      <c r="X30" s="69"/>
      <c r="Y30" s="67"/>
      <c r="Z30" s="69"/>
      <c r="AA30" s="69"/>
      <c r="AB30" s="69"/>
      <c r="AC30" s="39"/>
      <c r="AD30" s="86"/>
      <c r="AE30" s="86"/>
    </row>
    <row r="31" spans="2:31" ht="16.2" x14ac:dyDescent="0.35">
      <c r="B31" s="34">
        <v>23</v>
      </c>
      <c r="C31" s="35" t="s">
        <v>77</v>
      </c>
      <c r="D31" s="38">
        <v>0</v>
      </c>
      <c r="E31" s="37">
        <v>0</v>
      </c>
      <c r="F31" s="37">
        <v>0</v>
      </c>
      <c r="G31" s="38">
        <v>135</v>
      </c>
      <c r="H31" s="37">
        <v>1158.0246913580247</v>
      </c>
      <c r="I31" s="67">
        <v>187.6</v>
      </c>
      <c r="J31" s="38"/>
      <c r="K31" s="67"/>
      <c r="L31" s="67"/>
      <c r="M31" s="38"/>
      <c r="N31" s="67"/>
      <c r="O31" s="67"/>
      <c r="P31" s="45"/>
      <c r="Q31" s="69"/>
      <c r="R31" s="69"/>
      <c r="S31" s="69"/>
      <c r="T31" s="69"/>
      <c r="U31" s="69"/>
      <c r="V31" s="43"/>
      <c r="W31" s="69"/>
      <c r="X31" s="69"/>
      <c r="Y31" s="67"/>
      <c r="Z31" s="69"/>
      <c r="AA31" s="69"/>
      <c r="AB31" s="69"/>
      <c r="AC31" s="52"/>
    </row>
    <row r="32" spans="2:31" ht="16.2" customHeight="1" x14ac:dyDescent="0.35">
      <c r="B32" s="638" t="s">
        <v>323</v>
      </c>
      <c r="C32" s="638"/>
      <c r="D32" s="38">
        <f>D28+D27+D26</f>
        <v>8984</v>
      </c>
      <c r="E32" s="37"/>
      <c r="F32" s="38">
        <f t="shared" ref="F32:G32" si="23">F28+F27+F26</f>
        <v>192.86238520000001</v>
      </c>
      <c r="G32" s="38">
        <f t="shared" si="23"/>
        <v>9841</v>
      </c>
      <c r="H32" s="37"/>
      <c r="I32" s="38">
        <f t="shared" ref="I32" si="24">I28+I27+I26</f>
        <v>241.8311166</v>
      </c>
      <c r="J32" s="79">
        <f>J31+J30+J29</f>
        <v>0</v>
      </c>
      <c r="K32" s="82" t="e">
        <f>L32*10000/12/J32</f>
        <v>#DIV/0!</v>
      </c>
      <c r="L32" s="81">
        <f t="shared" ref="L32:M32" si="25">L31+L30+L29</f>
        <v>0</v>
      </c>
      <c r="M32" s="79">
        <f t="shared" si="25"/>
        <v>0</v>
      </c>
      <c r="N32" s="82" t="e">
        <f>O32*10000/12/M32</f>
        <v>#DIV/0!</v>
      </c>
      <c r="O32" s="81">
        <f t="shared" ref="O32:P32" si="26">O31+O30+O29</f>
        <v>0</v>
      </c>
      <c r="P32" s="79">
        <f t="shared" si="26"/>
        <v>0</v>
      </c>
      <c r="Q32" s="82" t="e">
        <f>R32*10000/12/P32</f>
        <v>#DIV/0!</v>
      </c>
      <c r="R32" s="81">
        <f>R31+R30+R29</f>
        <v>0</v>
      </c>
      <c r="S32" s="74">
        <f>S31+S30+S29</f>
        <v>0</v>
      </c>
      <c r="T32" s="74">
        <f>T31+T30+T29</f>
        <v>0</v>
      </c>
      <c r="U32" s="81">
        <f>T32+S32+R32</f>
        <v>0</v>
      </c>
      <c r="V32" s="79">
        <f t="shared" ref="V32" si="27">V31+V30+V29</f>
        <v>0</v>
      </c>
      <c r="W32" s="82" t="e">
        <f>X32*10000/12/V32</f>
        <v>#DIV/0!</v>
      </c>
      <c r="X32" s="81">
        <f t="shared" ref="X32:Z32" si="28">X31+X30+X29</f>
        <v>0</v>
      </c>
      <c r="Y32" s="74">
        <f t="shared" si="28"/>
        <v>0</v>
      </c>
      <c r="Z32" s="74">
        <f t="shared" si="28"/>
        <v>0</v>
      </c>
      <c r="AA32" s="38">
        <f t="shared" ref="AA32" si="29">AA28+AA27+AA26</f>
        <v>0</v>
      </c>
      <c r="AB32" s="81">
        <f>AB31+AB30+AB29</f>
        <v>0</v>
      </c>
      <c r="AC32" s="58" t="e">
        <f t="shared" si="7"/>
        <v>#DIV/0!</v>
      </c>
    </row>
    <row r="33" spans="2:29" ht="28.2" customHeight="1" x14ac:dyDescent="0.35">
      <c r="B33" s="639" t="s">
        <v>324</v>
      </c>
      <c r="C33" s="639"/>
      <c r="D33" s="79">
        <f>D31+D30+D28+D29</f>
        <v>9864</v>
      </c>
      <c r="E33" s="80">
        <f>F33*10000/12/D33</f>
        <v>17.307243951067857</v>
      </c>
      <c r="F33" s="81">
        <f t="shared" ref="F33:G33" si="30">F31+F30+F28+F29</f>
        <v>204.86238520000001</v>
      </c>
      <c r="G33" s="79">
        <f t="shared" si="30"/>
        <v>10860</v>
      </c>
      <c r="H33" s="80">
        <f>I33*10000/12/G33</f>
        <v>33.949594582565993</v>
      </c>
      <c r="I33" s="81">
        <f t="shared" ref="I33" si="31">I31+I30+I28+I29</f>
        <v>442.4311166</v>
      </c>
      <c r="J33" s="79">
        <f>J31+J30+J28+J29</f>
        <v>0</v>
      </c>
      <c r="K33" s="82" t="e">
        <f>L33*10000/12/J33</f>
        <v>#DIV/0!</v>
      </c>
      <c r="L33" s="81">
        <f t="shared" ref="L33:M33" si="32">L31+L30+L28+L29</f>
        <v>0</v>
      </c>
      <c r="M33" s="79">
        <f t="shared" si="32"/>
        <v>0</v>
      </c>
      <c r="N33" s="82" t="e">
        <f>O33*10000/12/M33</f>
        <v>#DIV/0!</v>
      </c>
      <c r="O33" s="81">
        <f t="shared" ref="O33:P33" si="33">O31+O30+O28+O29</f>
        <v>0</v>
      </c>
      <c r="P33" s="79">
        <f t="shared" si="33"/>
        <v>0</v>
      </c>
      <c r="Q33" s="82" t="e">
        <f>R33*10000/12/P33</f>
        <v>#DIV/0!</v>
      </c>
      <c r="R33" s="85">
        <f>R31+R30+R28+R29</f>
        <v>0</v>
      </c>
      <c r="S33" s="76">
        <f t="shared" ref="S33" si="34">S31+S30+S28+S29</f>
        <v>0</v>
      </c>
      <c r="T33" s="76">
        <f>T31+T30+T28+T29</f>
        <v>0</v>
      </c>
      <c r="U33" s="85">
        <f t="shared" si="3"/>
        <v>0</v>
      </c>
      <c r="V33" s="79">
        <f t="shared" ref="V33" si="35">V31+V30+V28+V29</f>
        <v>0</v>
      </c>
      <c r="W33" s="82" t="e">
        <f>X33*10000/12/V33</f>
        <v>#DIV/0!</v>
      </c>
      <c r="X33" s="85">
        <f t="shared" ref="X33:Y33" si="36">X31+X30+X28+X29</f>
        <v>0</v>
      </c>
      <c r="Y33" s="87">
        <f t="shared" si="36"/>
        <v>0</v>
      </c>
      <c r="Z33" s="87">
        <f t="shared" ref="Z33:AA33" si="37">Z31+Z30+Z28</f>
        <v>0</v>
      </c>
      <c r="AA33" s="74">
        <f t="shared" si="37"/>
        <v>0</v>
      </c>
      <c r="AB33" s="85">
        <f>Z33+X33+Y33</f>
        <v>0</v>
      </c>
      <c r="AC33" s="50" t="e">
        <f t="shared" si="7"/>
        <v>#DIV/0!</v>
      </c>
    </row>
    <row r="34" spans="2:29" x14ac:dyDescent="0.35">
      <c r="V34" s="90"/>
      <c r="Y34" s="93"/>
    </row>
    <row r="35" spans="2:29" x14ac:dyDescent="0.35"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B35" s="93">
        <f>AB25+AB12+AB10+AB7</f>
        <v>0</v>
      </c>
    </row>
    <row r="36" spans="2:29" x14ac:dyDescent="0.35">
      <c r="R36" s="71"/>
      <c r="S36" s="70"/>
      <c r="T36" s="70"/>
      <c r="U36" s="70"/>
      <c r="W36" s="95"/>
      <c r="X36" s="93">
        <f>X25+X12+X10+X7</f>
        <v>0</v>
      </c>
    </row>
    <row r="38" spans="2:29" x14ac:dyDescent="0.35">
      <c r="R38" s="86"/>
    </row>
  </sheetData>
  <mergeCells count="16">
    <mergeCell ref="AC1:AC2"/>
    <mergeCell ref="B8:C8"/>
    <mergeCell ref="B11:C11"/>
    <mergeCell ref="J1:L1"/>
    <mergeCell ref="M1:O1"/>
    <mergeCell ref="P1:U1"/>
    <mergeCell ref="B22:C22"/>
    <mergeCell ref="B28:C28"/>
    <mergeCell ref="B32:C32"/>
    <mergeCell ref="B33:C33"/>
    <mergeCell ref="V1:AB1"/>
    <mergeCell ref="B14:C14"/>
    <mergeCell ref="B18:C18"/>
    <mergeCell ref="B1:C2"/>
    <mergeCell ref="D1:F1"/>
    <mergeCell ref="G1:I1"/>
  </mergeCells>
  <phoneticPr fontId="6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E12:Q17"/>
  <sheetViews>
    <sheetView zoomScale="90" zoomScaleNormal="90" workbookViewId="0">
      <selection activeCell="Q35" sqref="Q35"/>
    </sheetView>
  </sheetViews>
  <sheetFormatPr defaultRowHeight="14.4" x14ac:dyDescent="0.25"/>
  <cols>
    <col min="5" max="5" width="22.109375" customWidth="1"/>
    <col min="6" max="6" width="10.109375" bestFit="1" customWidth="1"/>
    <col min="7" max="7" width="8.77734375" bestFit="1" customWidth="1"/>
    <col min="8" max="8" width="10.33203125" bestFit="1" customWidth="1"/>
    <col min="9" max="9" width="6.6640625" bestFit="1" customWidth="1"/>
    <col min="10" max="10" width="10.109375" bestFit="1" customWidth="1"/>
    <col min="11" max="11" width="8" bestFit="1" customWidth="1"/>
    <col min="12" max="12" width="10.33203125" bestFit="1" customWidth="1"/>
    <col min="13" max="13" width="6.6640625" bestFit="1" customWidth="1"/>
    <col min="14" max="14" width="10.21875" bestFit="1" customWidth="1"/>
    <col min="15" max="15" width="11.109375" bestFit="1" customWidth="1"/>
    <col min="16" max="16" width="10.109375" bestFit="1" customWidth="1"/>
    <col min="17" max="17" width="9" bestFit="1" customWidth="1"/>
  </cols>
  <sheetData>
    <row r="12" spans="5:17" ht="41.4" customHeight="1" x14ac:dyDescent="0.25">
      <c r="E12" s="665" t="s">
        <v>389</v>
      </c>
      <c r="F12" s="662" t="s">
        <v>390</v>
      </c>
      <c r="G12" s="663"/>
      <c r="H12" s="663"/>
      <c r="I12" s="664"/>
      <c r="J12" s="662" t="s">
        <v>391</v>
      </c>
      <c r="K12" s="663"/>
      <c r="L12" s="663"/>
      <c r="M12" s="664"/>
      <c r="N12" s="662" t="s">
        <v>392</v>
      </c>
      <c r="O12" s="663"/>
      <c r="P12" s="663"/>
      <c r="Q12" s="664"/>
    </row>
    <row r="13" spans="5:17" ht="41.4" customHeight="1" x14ac:dyDescent="0.25">
      <c r="E13" s="666"/>
      <c r="F13" s="542" t="s">
        <v>397</v>
      </c>
      <c r="G13" s="542" t="s">
        <v>398</v>
      </c>
      <c r="H13" s="542" t="s">
        <v>399</v>
      </c>
      <c r="I13" s="542" t="s">
        <v>400</v>
      </c>
      <c r="J13" s="542" t="s">
        <v>397</v>
      </c>
      <c r="K13" s="542" t="s">
        <v>398</v>
      </c>
      <c r="L13" s="542" t="s">
        <v>399</v>
      </c>
      <c r="M13" s="542" t="s">
        <v>400</v>
      </c>
      <c r="N13" s="542" t="s">
        <v>397</v>
      </c>
      <c r="O13" s="542" t="s">
        <v>398</v>
      </c>
      <c r="P13" s="542" t="s">
        <v>399</v>
      </c>
      <c r="Q13" s="542" t="s">
        <v>400</v>
      </c>
    </row>
    <row r="14" spans="5:17" ht="41.4" customHeight="1" x14ac:dyDescent="0.25">
      <c r="E14" s="541" t="s">
        <v>393</v>
      </c>
      <c r="F14" s="541">
        <v>422</v>
      </c>
      <c r="G14" s="541">
        <v>6</v>
      </c>
      <c r="H14" s="541">
        <v>754</v>
      </c>
      <c r="I14" s="541">
        <v>1182</v>
      </c>
      <c r="J14" s="541">
        <v>502</v>
      </c>
      <c r="K14" s="541">
        <v>8</v>
      </c>
      <c r="L14" s="541">
        <v>859</v>
      </c>
      <c r="M14" s="541">
        <v>1369</v>
      </c>
      <c r="N14" s="42">
        <f>(J14-F14)/F14</f>
        <v>0.1895734597156398</v>
      </c>
      <c r="O14" s="42">
        <f t="shared" ref="O14:P14" si="0">(K14-G14)/G14</f>
        <v>0.33333333333333331</v>
      </c>
      <c r="P14" s="42">
        <f t="shared" si="0"/>
        <v>0.13925729442970822</v>
      </c>
      <c r="Q14" s="115">
        <f>(M14-I14)/I14</f>
        <v>0.15820642978003385</v>
      </c>
    </row>
    <row r="15" spans="5:17" ht="41.4" customHeight="1" x14ac:dyDescent="0.25">
      <c r="E15" s="541" t="s">
        <v>394</v>
      </c>
      <c r="F15" s="541">
        <v>76.040000000000006</v>
      </c>
      <c r="G15" s="541">
        <v>2.76</v>
      </c>
      <c r="H15" s="541">
        <f>I15-G15-F15</f>
        <v>630.20000000000005</v>
      </c>
      <c r="I15" s="541">
        <v>709</v>
      </c>
      <c r="J15" s="541">
        <v>79.09</v>
      </c>
      <c r="K15" s="541">
        <v>2.87</v>
      </c>
      <c r="L15" s="541">
        <f>M15-K15-J15</f>
        <v>655.04</v>
      </c>
      <c r="M15" s="541">
        <v>737</v>
      </c>
      <c r="N15" s="42">
        <f t="shared" ref="N15:N17" si="1">(J15-F15)/F15</f>
        <v>4.0110468174644885E-2</v>
      </c>
      <c r="O15" s="42">
        <f t="shared" ref="O15:O17" si="2">(K15-G15)/G15</f>
        <v>3.9855072463768237E-2</v>
      </c>
      <c r="P15" s="42">
        <f t="shared" ref="P15:P17" si="3">(L15-H15)/H15</f>
        <v>3.9416058394160451E-2</v>
      </c>
      <c r="Q15" s="115">
        <f>(M15-I15)/I15</f>
        <v>3.9492242595204514E-2</v>
      </c>
    </row>
    <row r="16" spans="5:17" ht="41.4" customHeight="1" x14ac:dyDescent="0.25">
      <c r="E16" s="541" t="s">
        <v>395</v>
      </c>
      <c r="F16" s="541">
        <v>-37.94</v>
      </c>
      <c r="G16" s="541">
        <v>-56.61</v>
      </c>
      <c r="H16" s="541">
        <f>I16-G16-F16</f>
        <v>340.55</v>
      </c>
      <c r="I16" s="541">
        <v>246</v>
      </c>
      <c r="J16" s="541">
        <f>M16-L16-K16</f>
        <v>-303.96000000000004</v>
      </c>
      <c r="K16" s="541">
        <v>17.63</v>
      </c>
      <c r="L16" s="541">
        <v>523.33000000000004</v>
      </c>
      <c r="M16" s="541">
        <v>237</v>
      </c>
      <c r="N16" s="42">
        <f t="shared" si="1"/>
        <v>7.0115972588297328</v>
      </c>
      <c r="O16" s="42">
        <f t="shared" si="2"/>
        <v>-1.3114290761349585</v>
      </c>
      <c r="P16" s="42">
        <f t="shared" si="3"/>
        <v>0.53672001174570549</v>
      </c>
      <c r="Q16" s="115">
        <f>(M16-I16)/I16</f>
        <v>-3.6585365853658534E-2</v>
      </c>
    </row>
    <row r="17" spans="5:17" ht="41.4" customHeight="1" x14ac:dyDescent="0.25">
      <c r="E17" s="542" t="s">
        <v>396</v>
      </c>
      <c r="F17" s="543">
        <f>SUM(F14:F16)</f>
        <v>460.1</v>
      </c>
      <c r="G17" s="544">
        <f t="shared" ref="G17:H17" si="4">SUM(G14:G16)</f>
        <v>-47.85</v>
      </c>
      <c r="H17" s="545">
        <f t="shared" si="4"/>
        <v>1724.75</v>
      </c>
      <c r="I17" s="546">
        <f>SUM(I14:I16)</f>
        <v>2137</v>
      </c>
      <c r="J17" s="543">
        <f t="shared" ref="J17:L17" si="5">SUM(J14:J16)</f>
        <v>277.13</v>
      </c>
      <c r="K17" s="544">
        <f t="shared" si="5"/>
        <v>28.5</v>
      </c>
      <c r="L17" s="545">
        <f t="shared" si="5"/>
        <v>2037.37</v>
      </c>
      <c r="M17" s="546">
        <f>SUM(M14:M16)</f>
        <v>2343</v>
      </c>
      <c r="N17" s="550">
        <f t="shared" si="1"/>
        <v>-0.39767441860465119</v>
      </c>
      <c r="O17" s="548">
        <f t="shared" si="2"/>
        <v>-1.5956112852664575</v>
      </c>
      <c r="P17" s="549">
        <f t="shared" si="3"/>
        <v>0.18125525438469337</v>
      </c>
      <c r="Q17" s="547">
        <f>(M17-I17)/I17</f>
        <v>9.6396817969115589E-2</v>
      </c>
    </row>
  </sheetData>
  <mergeCells count="4">
    <mergeCell ref="F12:I12"/>
    <mergeCell ref="J12:M12"/>
    <mergeCell ref="N12:Q12"/>
    <mergeCell ref="E12:E13"/>
  </mergeCells>
  <phoneticPr fontId="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>
      <selection activeCell="P39" sqref="P39"/>
    </sheetView>
  </sheetViews>
  <sheetFormatPr defaultRowHeight="14.4" x14ac:dyDescent="0.2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汇总</vt:lpstr>
      <vt:lpstr>3-1总办办公费</vt:lpstr>
      <vt:lpstr>3-2移动电话费</vt:lpstr>
      <vt:lpstr>3-3 市内交通费</vt:lpstr>
      <vt:lpstr>3-4 差旅费</vt:lpstr>
      <vt:lpstr>3-5 业务招待费</vt:lpstr>
      <vt:lpstr>差旅费&amp;业务招待费</vt:lpstr>
      <vt:lpstr>3-6 汽车费用</vt:lpstr>
      <vt:lpstr>3-7 安全生产费</vt:lpstr>
      <vt:lpstr>3-8 环保费</vt:lpstr>
      <vt:lpstr>3-9绿化费</vt:lpstr>
      <vt:lpstr>3-10食堂费用</vt:lpstr>
      <vt:lpstr>3-11宿舍费用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2026-08-20T06:16:43Z</dcterms:modified>
</cp:coreProperties>
</file>