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tabRatio="861" activeTab="9"/>
  </bookViews>
  <sheets>
    <sheet name="2026年费控系统预算数据收集表" sheetId="11" r:id="rId1"/>
    <sheet name="Sheet4" sheetId="19" r:id="rId2"/>
    <sheet name="Sheet3" sheetId="18" r:id="rId3"/>
    <sheet name="事业部生产单元对照表" sheetId="17" r:id="rId4"/>
    <sheet name="公司代码公司名称对照表" sheetId="15" r:id="rId5"/>
    <sheet name="2026年费控系统预算数据收集表 (2)" sheetId="13" state="hidden" r:id="rId6"/>
    <sheet name="一级部门对照表" sheetId="9" r:id="rId7"/>
    <sheet name="Sheet5" sheetId="20" r:id="rId8"/>
    <sheet name="费控系统预算科目明细表" sheetId="1" r:id="rId9"/>
    <sheet name="Sheet6" sheetId="21" r:id="rId10"/>
    <sheet name="Sheet2" sheetId="7" state="hidden" r:id="rId11"/>
    <sheet name="Sheet1" sheetId="12" r:id="rId12"/>
  </sheets>
  <definedNames>
    <definedName name="_xlnm._FilterDatabase" localSheetId="2" hidden="1">Sheet3!$A$1:$D$347</definedName>
    <definedName name="_xlnm._FilterDatabase" localSheetId="8" hidden="1">费控系统预算科目明细表!$A$1:$G$354</definedName>
  </definedNames>
  <calcPr calcId="152511" concurrentCalc="0"/>
  <pivotCaches>
    <pivotCache cacheId="2" r:id="rId13"/>
  </pivotCaches>
</workbook>
</file>

<file path=xl/calcChain.xml><?xml version="1.0" encoding="utf-8"?>
<calcChain xmlns="http://schemas.openxmlformats.org/spreadsheetml/2006/main">
  <c r="N59" i="20" l="1"/>
  <c r="N60" i="20"/>
  <c r="N61" i="20"/>
  <c r="N62" i="20"/>
  <c r="N63" i="20"/>
  <c r="N64" i="20"/>
  <c r="N65" i="20"/>
  <c r="N66" i="20"/>
  <c r="N67" i="20"/>
  <c r="N68" i="20"/>
  <c r="N69" i="20"/>
  <c r="N70" i="20"/>
  <c r="N71" i="20"/>
  <c r="N72" i="20"/>
  <c r="N73" i="20"/>
  <c r="N74" i="20"/>
  <c r="N75" i="20"/>
  <c r="N76" i="20"/>
  <c r="N77" i="20"/>
  <c r="N78" i="20"/>
  <c r="N79" i="20"/>
  <c r="N80" i="20"/>
  <c r="N81" i="20"/>
  <c r="N82" i="20"/>
  <c r="N83" i="20"/>
  <c r="N58" i="20"/>
  <c r="E160" i="20"/>
  <c r="E161" i="20"/>
  <c r="E162" i="20"/>
  <c r="E163" i="20"/>
  <c r="E164" i="20"/>
  <c r="E165" i="20"/>
  <c r="E166" i="20"/>
  <c r="E167" i="20"/>
  <c r="E168" i="20"/>
  <c r="E169" i="20"/>
  <c r="E170" i="20"/>
  <c r="E171" i="20"/>
  <c r="E172" i="20"/>
  <c r="E173" i="20"/>
  <c r="E174" i="20"/>
  <c r="E175" i="20"/>
  <c r="E176" i="20"/>
  <c r="E177" i="20"/>
  <c r="E178" i="20"/>
  <c r="E179" i="20"/>
  <c r="E180" i="20"/>
  <c r="E181" i="20"/>
  <c r="E182" i="20"/>
  <c r="E183" i="20"/>
  <c r="E184" i="20"/>
  <c r="E185" i="20"/>
  <c r="E186" i="20"/>
  <c r="E187" i="20"/>
  <c r="E188" i="20"/>
  <c r="E189" i="20"/>
  <c r="E190" i="20"/>
  <c r="E191" i="20"/>
  <c r="E192" i="20"/>
  <c r="E193" i="20"/>
  <c r="E194" i="20"/>
  <c r="E195" i="20"/>
  <c r="E196" i="20"/>
  <c r="E197" i="20"/>
  <c r="E198" i="20"/>
  <c r="E199" i="20"/>
  <c r="E200" i="20"/>
  <c r="E201" i="20"/>
  <c r="E202" i="20"/>
  <c r="E203" i="20"/>
  <c r="E204" i="20"/>
  <c r="E205" i="20"/>
  <c r="E206" i="20"/>
  <c r="E207" i="20"/>
  <c r="E208" i="20"/>
  <c r="E209" i="20"/>
  <c r="E210" i="20"/>
  <c r="E211" i="20"/>
  <c r="E212" i="20"/>
  <c r="E213" i="20"/>
  <c r="E214" i="20"/>
  <c r="E215" i="20"/>
  <c r="E216" i="20"/>
  <c r="E217" i="20"/>
  <c r="E218" i="20"/>
  <c r="E219" i="20"/>
  <c r="E220" i="20"/>
  <c r="E221" i="20"/>
  <c r="E222" i="20"/>
  <c r="E223" i="20"/>
  <c r="E224" i="20"/>
  <c r="E225" i="20"/>
  <c r="E226" i="20"/>
  <c r="E227" i="20"/>
  <c r="E228" i="20"/>
  <c r="E229" i="20"/>
  <c r="E230" i="20"/>
  <c r="E231" i="20"/>
  <c r="E232" i="20"/>
  <c r="E233" i="20"/>
  <c r="E234" i="20"/>
  <c r="E235" i="20"/>
  <c r="E236" i="20"/>
  <c r="E237" i="20"/>
  <c r="E238" i="20"/>
  <c r="E239" i="20"/>
  <c r="E240" i="20"/>
  <c r="E241" i="20"/>
  <c r="E242" i="20"/>
  <c r="E243" i="20"/>
  <c r="E244" i="20"/>
  <c r="E245" i="20"/>
  <c r="E246" i="20"/>
  <c r="E247" i="20"/>
  <c r="E248" i="20"/>
  <c r="E249" i="20"/>
  <c r="E250" i="20"/>
  <c r="E251" i="20"/>
  <c r="E252" i="20"/>
  <c r="E253" i="20"/>
  <c r="E254" i="20"/>
  <c r="E255" i="20"/>
  <c r="E256" i="20"/>
  <c r="E257" i="20"/>
  <c r="E258" i="20"/>
  <c r="E259" i="20"/>
  <c r="E260" i="20"/>
  <c r="E261" i="20"/>
  <c r="E262" i="20"/>
  <c r="E263" i="20"/>
  <c r="E264" i="20"/>
  <c r="E265" i="20"/>
  <c r="E266" i="20"/>
  <c r="E267" i="20"/>
  <c r="E268" i="20"/>
  <c r="E269" i="20"/>
  <c r="E270" i="20"/>
  <c r="E271" i="20"/>
  <c r="E272" i="20"/>
  <c r="E273" i="20"/>
  <c r="E274" i="20"/>
  <c r="E275" i="20"/>
  <c r="E276" i="20"/>
  <c r="E277" i="20"/>
  <c r="E278" i="20"/>
  <c r="E279" i="20"/>
  <c r="E280" i="20"/>
  <c r="E281" i="20"/>
  <c r="E282" i="20"/>
  <c r="E283" i="20"/>
  <c r="E284" i="20"/>
  <c r="E285" i="20"/>
  <c r="E286" i="20"/>
  <c r="E287" i="20"/>
  <c r="E288" i="20"/>
  <c r="E289" i="20"/>
  <c r="E290" i="20"/>
  <c r="E291" i="20"/>
  <c r="E159" i="20"/>
  <c r="E152" i="20"/>
  <c r="E153" i="20"/>
  <c r="E154" i="20"/>
  <c r="E155" i="20"/>
  <c r="E156" i="20"/>
  <c r="E157" i="20"/>
  <c r="E158" i="20"/>
  <c r="E134" i="20"/>
  <c r="E135" i="20"/>
  <c r="E136" i="20"/>
  <c r="E137" i="20"/>
  <c r="E138" i="20"/>
  <c r="E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33" i="20"/>
  <c r="E117" i="20"/>
  <c r="E118" i="20"/>
  <c r="E119" i="20"/>
  <c r="E120" i="20"/>
  <c r="E121" i="20"/>
  <c r="E122" i="20"/>
  <c r="E123" i="20"/>
  <c r="E124" i="20"/>
  <c r="E125" i="20"/>
  <c r="E126" i="20"/>
  <c r="E127" i="20"/>
  <c r="E128" i="20"/>
  <c r="E129" i="20"/>
  <c r="E130" i="20"/>
  <c r="E131" i="20"/>
  <c r="E132" i="20"/>
  <c r="E93" i="20"/>
  <c r="E94" i="20"/>
  <c r="E95" i="20"/>
  <c r="E96" i="20"/>
  <c r="E97" i="20"/>
  <c r="E98" i="20"/>
  <c r="E99" i="20"/>
  <c r="E100" i="20"/>
  <c r="E101" i="20"/>
  <c r="E102" i="20"/>
  <c r="E103" i="20"/>
  <c r="E104" i="20"/>
  <c r="E105" i="20"/>
  <c r="E106" i="20"/>
  <c r="E107" i="20"/>
  <c r="E108" i="20"/>
  <c r="E109" i="20"/>
  <c r="E110" i="20"/>
  <c r="E111" i="20"/>
  <c r="E112" i="20"/>
  <c r="E113" i="20"/>
  <c r="E114" i="20"/>
  <c r="E115" i="20"/>
  <c r="E116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58" i="20"/>
  <c r="E59" i="20"/>
  <c r="E60" i="20"/>
  <c r="E61" i="20"/>
  <c r="E62" i="20"/>
  <c r="E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48" i="20"/>
  <c r="E49" i="20"/>
  <c r="E50" i="20"/>
  <c r="E51" i="20"/>
  <c r="E52" i="20"/>
  <c r="E53" i="20"/>
  <c r="E54" i="20"/>
  <c r="E55" i="20"/>
  <c r="E56" i="20"/>
  <c r="E57" i="20"/>
  <c r="E3" i="20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2" i="20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D3" i="18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D161" i="18"/>
  <c r="D162" i="18"/>
  <c r="D163" i="18"/>
  <c r="D164" i="18"/>
  <c r="D165" i="18"/>
  <c r="D166" i="18"/>
  <c r="D167" i="18"/>
  <c r="D168" i="18"/>
  <c r="D169" i="18"/>
  <c r="D170" i="18"/>
  <c r="D171" i="18"/>
  <c r="D172" i="18"/>
  <c r="D173" i="18"/>
  <c r="D174" i="18"/>
  <c r="D175" i="18"/>
  <c r="D176" i="18"/>
  <c r="D177" i="18"/>
  <c r="D178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4" i="18"/>
  <c r="D195" i="18"/>
  <c r="D196" i="18"/>
  <c r="D197" i="18"/>
  <c r="D198" i="18"/>
  <c r="D199" i="18"/>
  <c r="D200" i="18"/>
  <c r="D201" i="18"/>
  <c r="D202" i="18"/>
  <c r="D203" i="18"/>
  <c r="D204" i="18"/>
  <c r="D205" i="18"/>
  <c r="D206" i="18"/>
  <c r="D207" i="18"/>
  <c r="D208" i="18"/>
  <c r="D209" i="18"/>
  <c r="D210" i="18"/>
  <c r="D211" i="18"/>
  <c r="D212" i="18"/>
  <c r="D213" i="18"/>
  <c r="D214" i="18"/>
  <c r="D215" i="18"/>
  <c r="D216" i="18"/>
  <c r="D217" i="18"/>
  <c r="D218" i="18"/>
  <c r="D219" i="18"/>
  <c r="D220" i="18"/>
  <c r="D221" i="18"/>
  <c r="D222" i="18"/>
  <c r="D223" i="18"/>
  <c r="D224" i="18"/>
  <c r="D225" i="18"/>
  <c r="D226" i="18"/>
  <c r="D227" i="18"/>
  <c r="D228" i="18"/>
  <c r="D229" i="18"/>
  <c r="D230" i="18"/>
  <c r="D231" i="18"/>
  <c r="D232" i="18"/>
  <c r="D233" i="18"/>
  <c r="D234" i="18"/>
  <c r="D235" i="18"/>
  <c r="D236" i="18"/>
  <c r="D237" i="18"/>
  <c r="D238" i="18"/>
  <c r="D239" i="18"/>
  <c r="D240" i="18"/>
  <c r="D241" i="18"/>
  <c r="D242" i="18"/>
  <c r="D243" i="18"/>
  <c r="D244" i="18"/>
  <c r="D245" i="18"/>
  <c r="D246" i="18"/>
  <c r="D247" i="18"/>
  <c r="D248" i="18"/>
  <c r="D249" i="18"/>
  <c r="D250" i="18"/>
  <c r="D251" i="18"/>
  <c r="D252" i="18"/>
  <c r="D253" i="18"/>
  <c r="D254" i="18"/>
  <c r="D255" i="18"/>
  <c r="D256" i="18"/>
  <c r="D257" i="18"/>
  <c r="D258" i="18"/>
  <c r="D259" i="18"/>
  <c r="D260" i="18"/>
  <c r="D261" i="18"/>
  <c r="D262" i="18"/>
  <c r="D263" i="18"/>
  <c r="D264" i="18"/>
  <c r="D265" i="18"/>
  <c r="D266" i="18"/>
  <c r="D267" i="18"/>
  <c r="D268" i="18"/>
  <c r="D269" i="18"/>
  <c r="D270" i="18"/>
  <c r="D271" i="18"/>
  <c r="D272" i="18"/>
  <c r="D273" i="18"/>
  <c r="D274" i="18"/>
  <c r="D275" i="18"/>
  <c r="D276" i="18"/>
  <c r="D277" i="18"/>
  <c r="D278" i="18"/>
  <c r="D279" i="18"/>
  <c r="D280" i="18"/>
  <c r="D281" i="18"/>
  <c r="D282" i="18"/>
  <c r="D283" i="18"/>
  <c r="D284" i="18"/>
  <c r="D285" i="18"/>
  <c r="D286" i="18"/>
  <c r="D287" i="18"/>
  <c r="D288" i="18"/>
  <c r="D289" i="18"/>
  <c r="D290" i="18"/>
  <c r="D291" i="18"/>
  <c r="D292" i="18"/>
  <c r="D293" i="18"/>
  <c r="D294" i="18"/>
  <c r="D295" i="18"/>
  <c r="D296" i="18"/>
  <c r="D297" i="18"/>
  <c r="D298" i="18"/>
  <c r="D299" i="18"/>
  <c r="D300" i="18"/>
  <c r="D301" i="18"/>
  <c r="D302" i="18"/>
  <c r="D303" i="18"/>
  <c r="D304" i="18"/>
  <c r="D305" i="18"/>
  <c r="D306" i="18"/>
  <c r="D307" i="18"/>
  <c r="D308" i="18"/>
  <c r="D309" i="18"/>
  <c r="D310" i="18"/>
  <c r="D311" i="18"/>
  <c r="D312" i="18"/>
  <c r="D313" i="18"/>
  <c r="D314" i="18"/>
  <c r="D315" i="18"/>
  <c r="D316" i="18"/>
  <c r="D317" i="18"/>
  <c r="D318" i="18"/>
  <c r="D319" i="18"/>
  <c r="D320" i="18"/>
  <c r="D321" i="18"/>
  <c r="D322" i="18"/>
  <c r="D323" i="18"/>
  <c r="D324" i="18"/>
  <c r="D325" i="18"/>
  <c r="D326" i="18"/>
  <c r="D327" i="18"/>
  <c r="D328" i="18"/>
  <c r="D329" i="18"/>
  <c r="D330" i="18"/>
  <c r="D331" i="18"/>
  <c r="D332" i="18"/>
  <c r="D333" i="18"/>
  <c r="D334" i="18"/>
  <c r="D335" i="18"/>
  <c r="D336" i="18"/>
  <c r="D337" i="18"/>
  <c r="D338" i="18"/>
  <c r="D339" i="18"/>
  <c r="D340" i="18"/>
  <c r="D341" i="18"/>
  <c r="D342" i="18"/>
  <c r="D343" i="18"/>
  <c r="D344" i="18"/>
  <c r="D345" i="18"/>
  <c r="D346" i="18"/>
  <c r="D347" i="18"/>
  <c r="D2" i="18"/>
  <c r="I2" i="11"/>
  <c r="B2" i="11"/>
  <c r="G2" i="11"/>
  <c r="E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2" i="11"/>
</calcChain>
</file>

<file path=xl/comments1.xml><?xml version="1.0" encoding="utf-8"?>
<comments xmlns="http://schemas.openxmlformats.org/spreadsheetml/2006/main">
  <authors>
    <author>作者</author>
  </authors>
  <commentList>
    <comment ref="A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参照“公司代码公司名称对照表”</t>
        </r>
      </text>
    </comment>
    <comment ref="C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参照“费控系统预算科目明细表”</t>
        </r>
      </text>
    </comment>
    <comment ref="D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参照“事业部生产单元对照表”</t>
        </r>
      </text>
    </comment>
    <comment ref="F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参照“事业部生产单元对照表”</t>
        </r>
      </text>
    </comment>
    <comment ref="H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参照“一级部门对照表”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B50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总办把控，平时有申请单和发票就行，每个台干有自己的额度，没报完的年终补给，大多数是对公</t>
        </r>
      </text>
    </comment>
    <comment ref="D232" authorId="0" shapeId="0">
      <text>
        <r>
          <rPr>
            <b/>
            <sz val="9"/>
            <rFont val="宋体"/>
            <family val="3"/>
            <charset val="134"/>
          </rPr>
          <t>邓南斌:</t>
        </r>
        <r>
          <rPr>
            <sz val="9"/>
            <rFont val="宋体"/>
            <family val="3"/>
            <charset val="134"/>
          </rPr>
          <t xml:space="preserve">
新增</t>
        </r>
      </text>
    </comment>
    <comment ref="B315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目前是安瑞在用</t>
        </r>
      </text>
    </comment>
  </commentList>
</comments>
</file>

<file path=xl/sharedStrings.xml><?xml version="1.0" encoding="utf-8"?>
<sst xmlns="http://schemas.openxmlformats.org/spreadsheetml/2006/main" count="11645" uniqueCount="1314">
  <si>
    <t>会计科目编码</t>
  </si>
  <si>
    <t>会计科目名称</t>
  </si>
  <si>
    <t>所属分类名称-新分类名称</t>
  </si>
  <si>
    <t>费用类型名称
（必填）-费控系统</t>
  </si>
  <si>
    <t>预算科目名称</t>
  </si>
  <si>
    <t>预算归口部门(按会计科目）</t>
  </si>
  <si>
    <t>6600010124</t>
  </si>
  <si>
    <t>人工-员工辞退福利（裁剪冗员补偿款）</t>
  </si>
  <si>
    <t>离职费用</t>
  </si>
  <si>
    <t>离职经济补偿金</t>
  </si>
  <si>
    <t>员工辞退成本</t>
  </si>
  <si>
    <t>人资</t>
  </si>
  <si>
    <t>竞业限制补偿金</t>
  </si>
  <si>
    <t>6600010201</t>
  </si>
  <si>
    <t>人工-福利费用-宿舍费用</t>
  </si>
  <si>
    <t>福利费用</t>
  </si>
  <si>
    <t>宿舍福利-房租</t>
  </si>
  <si>
    <t>宿舍费用</t>
  </si>
  <si>
    <t>总办</t>
  </si>
  <si>
    <t>宿舍福利-能源费用</t>
  </si>
  <si>
    <t>宿舍福利-物业费</t>
  </si>
  <si>
    <t>修理费</t>
  </si>
  <si>
    <t>宿舍福利-修理费</t>
  </si>
  <si>
    <t>宿舍福利-卫星电视费</t>
  </si>
  <si>
    <t>宿舍福利-宽带网络费用</t>
  </si>
  <si>
    <t>宿舍福利-奖励费用</t>
  </si>
  <si>
    <t>宿舍福利-家具家电</t>
  </si>
  <si>
    <t>清洁费</t>
  </si>
  <si>
    <t>宿舍福利-清洁费</t>
  </si>
  <si>
    <t>宿舍福利-员工制服</t>
  </si>
  <si>
    <t>宿舍福利-宿舍物资</t>
  </si>
  <si>
    <t>宿舍福利-搬迁劳务费</t>
  </si>
  <si>
    <t>宿舍福利-其他费用</t>
  </si>
  <si>
    <t>6600010202</t>
  </si>
  <si>
    <t>人工-福利费用-食堂费用</t>
  </si>
  <si>
    <t>食堂福利-食堂耗材</t>
  </si>
  <si>
    <t>食堂费用</t>
  </si>
  <si>
    <t>食堂福利-修理费</t>
  </si>
  <si>
    <t>食堂福利-能源费用</t>
  </si>
  <si>
    <t>食堂福利-清洁费</t>
  </si>
  <si>
    <t>食堂福利-劳保用品</t>
  </si>
  <si>
    <t>食堂福利-食堂物资费用</t>
  </si>
  <si>
    <t>食堂福利-检测费用</t>
  </si>
  <si>
    <t>食堂福利-员工制服</t>
  </si>
  <si>
    <t>其他福利-福利社费用</t>
  </si>
  <si>
    <t>总办其他福利费</t>
  </si>
  <si>
    <t>其他福利-外租档口结算</t>
  </si>
  <si>
    <t>食堂福利-员工餐费</t>
  </si>
  <si>
    <t>食堂福利-家具家电</t>
  </si>
  <si>
    <t>食堂福利-其他费用</t>
  </si>
  <si>
    <t>6600010203</t>
  </si>
  <si>
    <t>人工-福利费用-其他福利费</t>
  </si>
  <si>
    <t>其他福利-员工体检费</t>
  </si>
  <si>
    <t>其他福利-职工医疗互助费用</t>
  </si>
  <si>
    <t>其他福利-集体活动福利</t>
  </si>
  <si>
    <t>其他福利-节日福利</t>
  </si>
  <si>
    <t>其他福利-文体设施费用</t>
  </si>
  <si>
    <t>其他福利-司机误餐费用(非出差）</t>
  </si>
  <si>
    <t>其他福利-评优奖金</t>
  </si>
  <si>
    <t>其他福利-茶叶费用</t>
  </si>
  <si>
    <t>其他福利-水果点心费用</t>
  </si>
  <si>
    <t>其他福利-旺年会</t>
  </si>
  <si>
    <t>职工福利费（人资）</t>
  </si>
  <si>
    <t>生日礼金</t>
  </si>
  <si>
    <t>人资职工福利费</t>
  </si>
  <si>
    <t>员工关怀走访费用</t>
  </si>
  <si>
    <t>其他福利-质量活动（品管）</t>
  </si>
  <si>
    <t>品管其他福利费</t>
  </si>
  <si>
    <t>品管</t>
  </si>
  <si>
    <t>交通补贴</t>
    <phoneticPr fontId="3" type="noConversion"/>
  </si>
  <si>
    <t>交通补贴</t>
  </si>
  <si>
    <t>人工-福利费用-通勤车费</t>
  </si>
  <si>
    <t>其他福利-通勤车费</t>
  </si>
  <si>
    <t>6600010205</t>
  </si>
  <si>
    <t>人工-福利费用-探亲交通费</t>
  </si>
  <si>
    <t>探亲交通费</t>
  </si>
  <si>
    <t>人工-福利费用-丧葬慰问金</t>
  </si>
  <si>
    <t>丧葬慰问金</t>
  </si>
  <si>
    <t xml:space="preserve">人工-福利费用-生活困难补助 </t>
  </si>
  <si>
    <t>生活困难补助</t>
  </si>
  <si>
    <t>人工-福利费用-生病住院/工伤慰问金</t>
  </si>
  <si>
    <t>生病住院/工伤慰问金</t>
  </si>
  <si>
    <t>6600010306</t>
  </si>
  <si>
    <t>人工-个人商业保险-其他保险费</t>
  </si>
  <si>
    <t>商业保险费</t>
  </si>
  <si>
    <t>6600010500</t>
  </si>
  <si>
    <t>人工-部门活动经费</t>
  </si>
  <si>
    <t>部门活动经费</t>
  </si>
  <si>
    <t>人工-人事费-其他人事费</t>
  </si>
  <si>
    <t>招聘成本</t>
  </si>
  <si>
    <t>招聘宣传费</t>
  </si>
  <si>
    <t>招聘费用</t>
  </si>
  <si>
    <t>招聘差旅费（含面试住宿费）</t>
  </si>
  <si>
    <t>入职前竞调费用</t>
  </si>
  <si>
    <t>其他人工成本</t>
  </si>
  <si>
    <t>离职后竞调费用</t>
  </si>
  <si>
    <t>人事服务费</t>
  </si>
  <si>
    <t>‌其他人工成本</t>
  </si>
  <si>
    <t>第三方服务费</t>
  </si>
  <si>
    <t>人工-人事费-中介服务费-普通中介费用</t>
  </si>
  <si>
    <t>人事费-普通中介费用-正式员工</t>
  </si>
  <si>
    <t>人事费-普通中介费用-劳务派遣</t>
  </si>
  <si>
    <t>人工-人事费-中介服务费-猎头公司费用</t>
  </si>
  <si>
    <t>人事费-猎头公司费用</t>
  </si>
  <si>
    <t>6600010605</t>
  </si>
  <si>
    <t>人工-人事费-中介服务费-招聘网站费用</t>
  </si>
  <si>
    <t>人事费-招聘网站费用</t>
  </si>
  <si>
    <t>6600010606</t>
  </si>
  <si>
    <t>人工-人事费-中介服务费-校企合作费用</t>
  </si>
  <si>
    <t>人事费-校企合作费用</t>
  </si>
  <si>
    <t>6600010607</t>
  </si>
  <si>
    <t>人工-职工教育经费-学历提升</t>
  </si>
  <si>
    <t>职工教育经费</t>
  </si>
  <si>
    <t>继续教育费</t>
  </si>
  <si>
    <t>6600010608</t>
  </si>
  <si>
    <t>人工-职工教育经费-外部讲师</t>
  </si>
  <si>
    <t>外部讲师费</t>
  </si>
  <si>
    <t>6600010609</t>
  </si>
  <si>
    <t>人工-职工教育经费-其他</t>
  </si>
  <si>
    <t>培训服务费</t>
  </si>
  <si>
    <t>培训设施费</t>
  </si>
  <si>
    <t>取证费</t>
  </si>
  <si>
    <t>其他培训费</t>
  </si>
  <si>
    <t>6600010700</t>
  </si>
  <si>
    <t>工会经费</t>
  </si>
  <si>
    <t>财务</t>
  </si>
  <si>
    <t>6600010800</t>
  </si>
  <si>
    <t>人工-劳务费</t>
  </si>
  <si>
    <t>劳务报酬</t>
  </si>
  <si>
    <t>劳务费</t>
  </si>
  <si>
    <t>6600010900</t>
  </si>
  <si>
    <t>残保金</t>
  </si>
  <si>
    <t>6600020102</t>
  </si>
  <si>
    <t>办公运营费-办公费-复印机</t>
  </si>
  <si>
    <t>办公运营费</t>
  </si>
  <si>
    <t>办公费-复印机</t>
  </si>
  <si>
    <t>IT租赁费</t>
  </si>
  <si>
    <t>IT</t>
  </si>
  <si>
    <t>办公运营费-办公费-订阅</t>
  </si>
  <si>
    <t>办公费-书报杂志订阅费</t>
  </si>
  <si>
    <t>总办办公费</t>
  </si>
  <si>
    <t>6600020105</t>
  </si>
  <si>
    <t>办公运营费-办公费-办公用品</t>
  </si>
  <si>
    <t>办公用品-办公文具</t>
  </si>
  <si>
    <t>办公用品-生活用纸</t>
  </si>
  <si>
    <t>办公用品-饮用水</t>
  </si>
  <si>
    <t>办公用品-其他办公用品</t>
  </si>
  <si>
    <t>6600020106</t>
  </si>
  <si>
    <t>办公运营费-办公费-办公家具</t>
  </si>
  <si>
    <t>办公家具-小家具家电</t>
  </si>
  <si>
    <t>办公运营费-办公费-其他办公费</t>
  </si>
  <si>
    <t>办公费-办公耗材</t>
  </si>
  <si>
    <t>办公费-茶叶费用</t>
  </si>
  <si>
    <t>办公费-水果点心费用</t>
  </si>
  <si>
    <t>办公费-自主清洁</t>
  </si>
  <si>
    <t>办公费-洗衣房费用</t>
  </si>
  <si>
    <t>办公费-办公工作服</t>
  </si>
  <si>
    <t>办公费-修理费-自主维修</t>
  </si>
  <si>
    <t>办公费-其他费用</t>
  </si>
  <si>
    <t>6600020108</t>
  </si>
  <si>
    <t>办公运营费-办公费-软件年费</t>
  </si>
  <si>
    <t>IT-软件订阅年费</t>
  </si>
  <si>
    <t>IT订阅费</t>
  </si>
  <si>
    <t>办公运营费-办公费-IT-维护</t>
  </si>
  <si>
    <t>IT-软件维护</t>
  </si>
  <si>
    <t>IT软件维护</t>
  </si>
  <si>
    <t>IT-硬件维护</t>
  </si>
  <si>
    <t>IT硬件维护</t>
  </si>
  <si>
    <t>IT-人力委外</t>
  </si>
  <si>
    <t>IT人力委外</t>
  </si>
  <si>
    <t>办公运营费-办公费-IT-配件</t>
  </si>
  <si>
    <t>IT-配件</t>
  </si>
  <si>
    <t>IT办公费</t>
  </si>
  <si>
    <t>6600020200</t>
  </si>
  <si>
    <t>办公运营费-市内交通费</t>
  </si>
  <si>
    <t>市内交通费</t>
  </si>
  <si>
    <t>办公运营费-差旅费-机票费</t>
  </si>
  <si>
    <t>差旅费</t>
  </si>
  <si>
    <t>差旅费-机票费</t>
  </si>
  <si>
    <t>6600020302</t>
  </si>
  <si>
    <t>办公运营费-差旅费-住宿费</t>
  </si>
  <si>
    <t>差旅费-住宿费</t>
  </si>
  <si>
    <t>6600020303</t>
  </si>
  <si>
    <t>办公运营费-差旅费-交通费</t>
  </si>
  <si>
    <t>差旅费-火车费用</t>
  </si>
  <si>
    <t>差旅费-长途汽车费用</t>
  </si>
  <si>
    <t>差旅费-市内交通费</t>
  </si>
  <si>
    <t>差旅费-商旅机票费</t>
  </si>
  <si>
    <t>差旅费-商旅住宿费</t>
  </si>
  <si>
    <t>差旅费-商旅火车费用</t>
  </si>
  <si>
    <t>差旅费-商旅长途汽车费用</t>
  </si>
  <si>
    <t>差旅费-商旅市内交通费</t>
  </si>
  <si>
    <t>6600020304</t>
  </si>
  <si>
    <t>办公运营费-差旅费-其他差旅费</t>
  </si>
  <si>
    <t>差旅费-差旅补贴</t>
  </si>
  <si>
    <t>差旅费-误餐补贴</t>
  </si>
  <si>
    <t>差旅费-其他差旅费</t>
  </si>
  <si>
    <t>6600020401</t>
  </si>
  <si>
    <t>办公运营费-汽车费用-租车</t>
  </si>
  <si>
    <t>汽车费用-租车费</t>
  </si>
  <si>
    <t>汽车费用</t>
  </si>
  <si>
    <t>6600020402</t>
  </si>
  <si>
    <t>办公运营费-汽车费用-燃料</t>
  </si>
  <si>
    <t>汽车费用-燃料费</t>
  </si>
  <si>
    <t>6600020403</t>
  </si>
  <si>
    <t>办公运营费-汽车费用-维保</t>
  </si>
  <si>
    <t>汽车费用-维保费</t>
  </si>
  <si>
    <t>6600020404</t>
  </si>
  <si>
    <t>办公运营费-汽车费用-路税&amp;保险</t>
  </si>
  <si>
    <t>汽车费用-路税&amp;保险</t>
  </si>
  <si>
    <t>6600020405</t>
  </si>
  <si>
    <t>办公运营费-汽车费用-里程津贴</t>
  </si>
  <si>
    <t>汽车费用-里程津贴</t>
  </si>
  <si>
    <t>6600020406</t>
  </si>
  <si>
    <t>办公运营费-汽车费用-过路过桥费</t>
  </si>
  <si>
    <t>汽车费用-过路过桥费</t>
  </si>
  <si>
    <t>6600020407</t>
  </si>
  <si>
    <t>办公运营费-汽车费用-停车费</t>
  </si>
  <si>
    <t>汽车费用-停车费</t>
  </si>
  <si>
    <t>办公运营费-汽车费用-年检费</t>
  </si>
  <si>
    <t>汽车费用-年检费</t>
  </si>
  <si>
    <t>6600020409</t>
  </si>
  <si>
    <t>办公运营费-汽车费用-其他车辆费</t>
  </si>
  <si>
    <t>汽车费用-其他车辆费</t>
  </si>
  <si>
    <t>6600020500</t>
  </si>
  <si>
    <t>办公运营费-固定电话费</t>
  </si>
  <si>
    <t>固定电话费</t>
  </si>
  <si>
    <t>6600020600</t>
  </si>
  <si>
    <t>办公运营费-移动电话费</t>
  </si>
  <si>
    <t>移动电话费</t>
  </si>
  <si>
    <t>6600020700</t>
  </si>
  <si>
    <t>办公运营费-业务招待费</t>
  </si>
  <si>
    <t>业务招待-茶叶费用</t>
  </si>
  <si>
    <t>业务招待费</t>
  </si>
  <si>
    <t>业务招待-酒水费用</t>
  </si>
  <si>
    <t>业务招待-餐饮费</t>
  </si>
  <si>
    <t>业务招待-商务礼品费</t>
  </si>
  <si>
    <t>业务招待-总经理费用</t>
  </si>
  <si>
    <t>业务招待-景区门票费用</t>
  </si>
  <si>
    <t>业务招待-非本公司员工产生的招待费用</t>
  </si>
  <si>
    <t>业务招待-代驾费用</t>
  </si>
  <si>
    <t>业务招待-水果点心费用</t>
  </si>
  <si>
    <t>业务招待-机场VIP通道费用</t>
  </si>
  <si>
    <t>业务招待-招聘招待费</t>
  </si>
  <si>
    <t>办公运营费-网络费用</t>
  </si>
  <si>
    <t>网络费用</t>
  </si>
  <si>
    <t>6600021000</t>
  </si>
  <si>
    <t>办公运营费-邮寄费</t>
  </si>
  <si>
    <t>邮寄费</t>
  </si>
  <si>
    <t>战略</t>
  </si>
  <si>
    <t>6600021200</t>
  </si>
  <si>
    <t>办公运营费-环保及绿化费</t>
  </si>
  <si>
    <t>环保费-排污费</t>
  </si>
  <si>
    <t>环保费</t>
  </si>
  <si>
    <t>环保费-环保施工费</t>
  </si>
  <si>
    <t>环保费-环保评估、验收费</t>
  </si>
  <si>
    <t>环保费-环保设施</t>
  </si>
  <si>
    <t>环保费-环保应急物资</t>
  </si>
  <si>
    <t>环保费-环境检测费用</t>
  </si>
  <si>
    <t>环保费-清理费</t>
  </si>
  <si>
    <t>环保费-固体废物处置</t>
  </si>
  <si>
    <t>环保费-危险废物处置</t>
  </si>
  <si>
    <t>环保费-其他环保费用</t>
  </si>
  <si>
    <t>绿化费-厂区绿化费</t>
  </si>
  <si>
    <t>绿化费</t>
  </si>
  <si>
    <t>绿化费-其他绿化费</t>
  </si>
  <si>
    <t>外部服务-租赁费-机器租赁费</t>
  </si>
  <si>
    <t>外部服务</t>
  </si>
  <si>
    <t>租赁费-机器租赁费</t>
  </si>
  <si>
    <t>租赁费</t>
  </si>
  <si>
    <t>6600030102</t>
  </si>
  <si>
    <t>外部服务-租赁费-围板箱租赁费</t>
  </si>
  <si>
    <t>租赁费-围板箱租赁费</t>
  </si>
  <si>
    <t>6600030203</t>
  </si>
  <si>
    <t>外部服务-房租及物业-房屋修理</t>
  </si>
  <si>
    <t>租赁宿舍\厂房费用-修理费</t>
  </si>
  <si>
    <t>总办其他服务费</t>
  </si>
  <si>
    <t>6600030204</t>
  </si>
  <si>
    <t>外部服务-房租及物业-厂房租赁费</t>
  </si>
  <si>
    <t>租赁宿舍\厂房费用-厂房租赁租金费用</t>
  </si>
  <si>
    <t>租赁宿舍\厂房费用-厂房租赁中介费用</t>
  </si>
  <si>
    <t>6600030205</t>
  </si>
  <si>
    <t>外部服务-房租及物业-物业水电燃气费</t>
  </si>
  <si>
    <t>租赁宿舍\厂房费用-物业费</t>
  </si>
  <si>
    <t>租赁宿舍\厂房费用-能源费用</t>
  </si>
  <si>
    <t>6600030206</t>
  </si>
  <si>
    <t>外部服务-房租及物业-宿舍租赁费</t>
  </si>
  <si>
    <t>租赁宿舍\厂房费用-宿舍租赁租金费用</t>
  </si>
  <si>
    <t>租赁宿舍\厂房费用-宿舍租赁中介费用</t>
  </si>
  <si>
    <t>外部服务-运输费用</t>
  </si>
  <si>
    <t>运输费用</t>
  </si>
  <si>
    <t>6600030400</t>
  </si>
  <si>
    <t>外部服务-咨询审计费</t>
  </si>
  <si>
    <t>咨询审计费-审计费用</t>
  </si>
  <si>
    <t>财务咨询审计费</t>
  </si>
  <si>
    <t>咨询审计费-尽调费用</t>
  </si>
  <si>
    <t>咨询审计费-项目管理咨询费用</t>
  </si>
  <si>
    <t>咨询审计费-法律顾问费用</t>
  </si>
  <si>
    <t>风控咨询审计费</t>
  </si>
  <si>
    <t>风控</t>
  </si>
  <si>
    <t>咨询审计费-政府项目专项审计</t>
  </si>
  <si>
    <t>技术中心专项审计费</t>
  </si>
  <si>
    <t>技术中心</t>
  </si>
  <si>
    <t>咨询审计费-第三方专利报告</t>
  </si>
  <si>
    <t>专利费</t>
  </si>
  <si>
    <t>咨询审计费-体系顾问费用</t>
  </si>
  <si>
    <t>品管体系认证费</t>
  </si>
  <si>
    <t>咨询审计费-其他咨询审计费</t>
  </si>
  <si>
    <t>外部服务-认证年检登记费</t>
  </si>
  <si>
    <t>认证年检登记-执照认证年检费</t>
  </si>
  <si>
    <t>认证年检登记-公众号认证费（新媒体平台年费）</t>
  </si>
  <si>
    <t>认证年检登记-抵押登记费</t>
  </si>
  <si>
    <t>销售其他服务费</t>
    <phoneticPr fontId="3" type="noConversion"/>
  </si>
  <si>
    <t>销售部</t>
  </si>
  <si>
    <t>6600030500</t>
  </si>
  <si>
    <t>认证年检登记-体系认证费用</t>
  </si>
  <si>
    <t>6600030600</t>
  </si>
  <si>
    <t>外部服务-诉讼费</t>
  </si>
  <si>
    <t>专利诉讼费</t>
  </si>
  <si>
    <t>其他诉讼费</t>
  </si>
  <si>
    <t>外部服务-会务宣传费-广告宣传费</t>
  </si>
  <si>
    <t>会务宣传费-企业文化宣传费（品牌建设宣传费）</t>
  </si>
  <si>
    <t>6600030702</t>
  </si>
  <si>
    <t>外部服务-会务宣传费-市场费用</t>
  </si>
  <si>
    <t>会务宣传费-市场费用</t>
  </si>
  <si>
    <t>销售会务宣传费</t>
  </si>
  <si>
    <t>外部服务-会务宣传费-会议费</t>
  </si>
  <si>
    <t>会务宣传费-会议费</t>
  </si>
  <si>
    <t>6600030743</t>
  </si>
  <si>
    <t>外部服务-会务宣传费-年费</t>
  </si>
  <si>
    <t>会务宣传费-行业协会年费</t>
  </si>
  <si>
    <t>技术中心会务宣传费</t>
  </si>
  <si>
    <t>会务宣传费-品牌建设会员年费（活动费）</t>
  </si>
  <si>
    <t>会务宣传费-品牌建设其他费用</t>
  </si>
  <si>
    <t>品牌建设费-物料制作费</t>
  </si>
  <si>
    <t>品牌建设费-宣传片制作费</t>
  </si>
  <si>
    <t>品牌建设费-内刊运营费</t>
  </si>
  <si>
    <t>品牌建设费-素材库年费</t>
  </si>
  <si>
    <t>6600030800</t>
  </si>
  <si>
    <t>外部服务-技术开发费</t>
  </si>
  <si>
    <t>委外技术开发费（研发费用）</t>
  </si>
  <si>
    <t>技术开发费</t>
  </si>
  <si>
    <t>6600030900</t>
  </si>
  <si>
    <t>外部服务-技术服务费</t>
  </si>
  <si>
    <t>技术服务费</t>
  </si>
  <si>
    <t>6600031100</t>
  </si>
  <si>
    <t>外部服务-测试检验费</t>
  </si>
  <si>
    <t>仪器检测费用</t>
  </si>
  <si>
    <t>品管测试检验费</t>
  </si>
  <si>
    <t>产品检测费用-委托内部关联方</t>
  </si>
  <si>
    <t>产品检测费用-委托外部第三方</t>
  </si>
  <si>
    <t>物料检测费用</t>
  </si>
  <si>
    <t>生产测试检验费</t>
  </si>
  <si>
    <t>各工厂生产部门</t>
  </si>
  <si>
    <t>有害物质检测费用</t>
  </si>
  <si>
    <t>水质检测费-自来水水质检测费</t>
  </si>
  <si>
    <t>动辅检测费</t>
  </si>
  <si>
    <t>运营测试检验费</t>
  </si>
  <si>
    <t>黄金检测费</t>
  </si>
  <si>
    <t>压力管道检验费用</t>
  </si>
  <si>
    <t>安全生产费</t>
  </si>
  <si>
    <t>6600031200</t>
  </si>
  <si>
    <t>外部服务-测试维护费</t>
  </si>
  <si>
    <t>电梯测试维护费</t>
  </si>
  <si>
    <t>6600031300</t>
  </si>
  <si>
    <t>外部服务-进口费用</t>
  </si>
  <si>
    <t>进口费用</t>
  </si>
  <si>
    <t>采购</t>
  </si>
  <si>
    <t>6600031400</t>
  </si>
  <si>
    <t>外部服务-出口费用</t>
  </si>
  <si>
    <t>出口费用</t>
  </si>
  <si>
    <t>生管/采购（关务）</t>
  </si>
  <si>
    <t>6600031500</t>
  </si>
  <si>
    <t>外部服务-修理费</t>
  </si>
  <si>
    <t>修理费-委外维修（总办）</t>
  </si>
  <si>
    <t>修理费-终端设备维修</t>
  </si>
  <si>
    <t>IT维修费</t>
  </si>
  <si>
    <t>修理费-弱电维护</t>
  </si>
  <si>
    <t>修理费-动辅维修服务</t>
  </si>
  <si>
    <t>运营动辅维修费</t>
  </si>
  <si>
    <t>修理费-委外服务</t>
  </si>
  <si>
    <t>运营委外维修费</t>
  </si>
  <si>
    <t>修理费-设备备件维修服务</t>
  </si>
  <si>
    <t>运营设备维修费</t>
  </si>
  <si>
    <t>修理费-零星工程（基建）</t>
  </si>
  <si>
    <t>基建维修费</t>
  </si>
  <si>
    <t>基建</t>
  </si>
  <si>
    <t>6600031501</t>
  </si>
  <si>
    <t>外部服务-工装治具维护修理</t>
  </si>
  <si>
    <t>工装治具维护修理</t>
  </si>
  <si>
    <t>6600031600</t>
  </si>
  <si>
    <t>外部服务-加工费</t>
  </si>
  <si>
    <t>内部加工费（工序委外）</t>
  </si>
  <si>
    <t>内部加工费</t>
  </si>
  <si>
    <t>外部加工费（工序委外）</t>
  </si>
  <si>
    <t>外部加工费</t>
  </si>
  <si>
    <t>6600031800</t>
  </si>
  <si>
    <t>外部服务-设计费</t>
  </si>
  <si>
    <t>设计费</t>
  </si>
  <si>
    <t>6600032000</t>
  </si>
  <si>
    <t>外部服务-委托外部研究开发费用</t>
  </si>
  <si>
    <t>委托外部研究开发费用</t>
  </si>
  <si>
    <t>外部服务-仓储费</t>
  </si>
  <si>
    <t>产品仓储费</t>
  </si>
  <si>
    <t>仓储费</t>
  </si>
  <si>
    <t>外部服务-清洁费</t>
  </si>
  <si>
    <t>清洁费-委外清洁</t>
  </si>
  <si>
    <t>6600034100</t>
  </si>
  <si>
    <t>外部服务-水处理费</t>
  </si>
  <si>
    <t>厂区水处理费（循环水处理）</t>
  </si>
  <si>
    <t>6600035100</t>
  </si>
  <si>
    <t>外部服务-代理服务</t>
  </si>
  <si>
    <t>代理服务费</t>
  </si>
  <si>
    <t>代理服务</t>
  </si>
  <si>
    <t>6600036100</t>
  </si>
  <si>
    <t>外部服务-销售佣金</t>
  </si>
  <si>
    <t>销售佣金</t>
  </si>
  <si>
    <t>6600040200</t>
  </si>
  <si>
    <t>税费-保险费</t>
  </si>
  <si>
    <t>保险费</t>
  </si>
  <si>
    <t>6600040300</t>
  </si>
  <si>
    <t>税费-货运保险费</t>
  </si>
  <si>
    <t>货运保险费</t>
  </si>
  <si>
    <t>运营保险费</t>
  </si>
  <si>
    <t>6600060100</t>
  </si>
  <si>
    <t>材料消耗-物料消耗</t>
  </si>
  <si>
    <t>物料消耗</t>
  </si>
  <si>
    <t>运营物料消耗</t>
  </si>
  <si>
    <t>6600060101</t>
  </si>
  <si>
    <t>材料消耗-物料消耗-包材</t>
  </si>
  <si>
    <t>物料消耗-包材</t>
  </si>
  <si>
    <t>6600060102</t>
  </si>
  <si>
    <t>材料消耗-物料消耗-工检夹治具</t>
  </si>
  <si>
    <t>物料消耗-工检夹治具</t>
  </si>
  <si>
    <t>6600060121</t>
  </si>
  <si>
    <t>材料消耗-物料消耗-维修物料</t>
  </si>
  <si>
    <t>物料消耗-维修物料</t>
  </si>
  <si>
    <t>6600060122</t>
  </si>
  <si>
    <t>材料消耗-物料消耗-订制品</t>
  </si>
  <si>
    <t>物料消耗-订制品</t>
  </si>
  <si>
    <t>材料消耗-物料消耗-备品备件</t>
  </si>
  <si>
    <t>物料消耗-备品备件</t>
  </si>
  <si>
    <t>6600060400</t>
  </si>
  <si>
    <t>材料消耗-物料消耗-劳保用品</t>
  </si>
  <si>
    <t>物料消耗-劳保用品</t>
  </si>
  <si>
    <t>6600060500</t>
  </si>
  <si>
    <t>材料消耗-物料消耗-样品费</t>
  </si>
  <si>
    <t>物料消耗-样品费</t>
  </si>
  <si>
    <t>样品费</t>
  </si>
  <si>
    <t>6600060600</t>
  </si>
  <si>
    <t>材料消耗-物料消耗-试验试制费</t>
  </si>
  <si>
    <t>物料消耗-试验试制费</t>
  </si>
  <si>
    <t>材料消耗-物料消耗-低值易耗品</t>
  </si>
  <si>
    <t>物料消耗-低值易耗品</t>
  </si>
  <si>
    <t>6600060201</t>
  </si>
  <si>
    <t>能源消耗-电费</t>
  </si>
  <si>
    <t>能源消耗</t>
  </si>
  <si>
    <t>运营能源消耗</t>
  </si>
  <si>
    <t>6600060202</t>
  </si>
  <si>
    <t>能源消耗-油气</t>
  </si>
  <si>
    <t>6600060203</t>
  </si>
  <si>
    <t>能源消耗-水费</t>
  </si>
  <si>
    <t>6600060204</t>
  </si>
  <si>
    <t>能源消耗-蒸汽</t>
  </si>
  <si>
    <t>6600060205</t>
  </si>
  <si>
    <t>能源消耗-天燃气</t>
  </si>
  <si>
    <t>6600060206</t>
  </si>
  <si>
    <t>能源消耗-采暖费</t>
  </si>
  <si>
    <t>6600070100</t>
  </si>
  <si>
    <t>安全生产-安全生产费</t>
  </si>
  <si>
    <t>安全生产费-安全耗材物资</t>
  </si>
  <si>
    <t>安全生产费-安全教育培训费</t>
  </si>
  <si>
    <t>安全生产费-安全体检费用</t>
  </si>
  <si>
    <t>安全生产费-安全类办证费</t>
  </si>
  <si>
    <t>安全生产费-安全评估费</t>
  </si>
  <si>
    <t>安全生产费-马路人行道划线</t>
  </si>
  <si>
    <t>安全生产费-安保制服费用</t>
  </si>
  <si>
    <t>安全生产费-工伤费用</t>
  </si>
  <si>
    <t>安全生产费-危化品管理费用</t>
  </si>
  <si>
    <t>安全生产费-急救药品费用</t>
  </si>
  <si>
    <t>安全生产费-特种设备检验费</t>
  </si>
  <si>
    <t>安全生产费-防雷检验</t>
  </si>
  <si>
    <t>安全生产费-消防验收</t>
  </si>
  <si>
    <t>安全生产费-消防维保</t>
  </si>
  <si>
    <t>安全生产费-检验检测费</t>
  </si>
  <si>
    <t>安全生产费-气体侦测器</t>
  </si>
  <si>
    <t>安全生产费-安责险</t>
  </si>
  <si>
    <t>安全生产费-作业场所检测</t>
  </si>
  <si>
    <t>安全生产费-其他安全生产费</t>
  </si>
  <si>
    <t>6600070200</t>
  </si>
  <si>
    <t>外部服务-危险废弃物处置费(安徽气体专用）</t>
  </si>
  <si>
    <t>危险废弃物处置费(安徽气体专用）</t>
  </si>
  <si>
    <t>危险废弃物处置费</t>
  </si>
  <si>
    <t>安徽气体</t>
  </si>
  <si>
    <t>6600100200</t>
  </si>
  <si>
    <t>其他费用-产品质量保证</t>
  </si>
  <si>
    <t>产品质量保证</t>
  </si>
  <si>
    <t>安瑞市场部</t>
  </si>
  <si>
    <t>6600100203</t>
  </si>
  <si>
    <t>其他费用-产品认证-安全认证</t>
  </si>
  <si>
    <t>其他费用</t>
  </si>
  <si>
    <t>产品安全认证</t>
  </si>
  <si>
    <t>品管产品认证费</t>
  </si>
  <si>
    <t>6600100300</t>
  </si>
  <si>
    <t>其他费用-专利费</t>
  </si>
  <si>
    <t>专利年费</t>
  </si>
  <si>
    <t>其他专利费</t>
  </si>
  <si>
    <t>6600100400</t>
  </si>
  <si>
    <t>其他费用-中标服务费</t>
  </si>
  <si>
    <t>中标服务费</t>
  </si>
  <si>
    <t>6600100500</t>
  </si>
  <si>
    <t>其他费用-专利前期申请费用</t>
  </si>
  <si>
    <t>专利前期申请费用</t>
  </si>
  <si>
    <t>6600100600</t>
  </si>
  <si>
    <t>其他费用-证券费用</t>
  </si>
  <si>
    <t>信用披露费用</t>
  </si>
  <si>
    <t>证券费用</t>
  </si>
  <si>
    <t>证券</t>
  </si>
  <si>
    <t>报社年费</t>
  </si>
  <si>
    <t>其他证券费用</t>
  </si>
  <si>
    <t>6600109600</t>
  </si>
  <si>
    <t>其他-其他</t>
  </si>
  <si>
    <t>员工持股受让回购股份过户费</t>
  </si>
  <si>
    <t>6600202000</t>
  </si>
  <si>
    <t>董事会会费</t>
  </si>
  <si>
    <t>6600301000</t>
  </si>
  <si>
    <t>搬迁费用</t>
  </si>
  <si>
    <t>6603010100</t>
  </si>
  <si>
    <t>财务费用-利息支出-贷款利息支出</t>
  </si>
  <si>
    <t>财务费用</t>
  </si>
  <si>
    <t>贷款利息支出</t>
  </si>
  <si>
    <t>6603010200</t>
  </si>
  <si>
    <t>财务费用-利息支出-贴现利息支出</t>
  </si>
  <si>
    <t>贴现利息支出</t>
  </si>
  <si>
    <t>6603010300</t>
  </si>
  <si>
    <t>财务费用-利息支出-拆借利息</t>
  </si>
  <si>
    <t>拆借利息</t>
  </si>
  <si>
    <t>6603040100</t>
  </si>
  <si>
    <t>财务费用-手续费</t>
  </si>
  <si>
    <t>6401100000</t>
  </si>
  <si>
    <t>主营业务成本-履约成本-运输费</t>
  </si>
  <si>
    <t>主营业务成本-履约成本-运输费（出口）</t>
  </si>
  <si>
    <t>履约成本运输费</t>
  </si>
  <si>
    <t>主营业务成本-履约成本-运输费（内销）</t>
  </si>
  <si>
    <t>6401070000</t>
  </si>
  <si>
    <t>主营业务成本-保证金</t>
  </si>
  <si>
    <t>主营业务成本-履约保证金</t>
  </si>
  <si>
    <t>履约保证金</t>
  </si>
  <si>
    <t>6405070000</t>
  </si>
  <si>
    <t>营业税金及附加-车船使用税</t>
  </si>
  <si>
    <t>6711050000</t>
  </si>
  <si>
    <t>营业外支出-捐赠支出</t>
  </si>
  <si>
    <t>捐赠支出</t>
  </si>
  <si>
    <t>SAP物料组</t>
  </si>
  <si>
    <t>零星工程-气体管道一二次配工程</t>
  </si>
  <si>
    <t>零星工程</t>
  </si>
  <si>
    <t>零星工程-一二次配工程</t>
  </si>
  <si>
    <t>零星工程-动力工程</t>
  </si>
  <si>
    <t>零星工程-车间工程</t>
  </si>
  <si>
    <t>零星工程-生管工程</t>
  </si>
  <si>
    <t>零星工程-总办宿舍工程</t>
  </si>
  <si>
    <t>零星工程-总办食堂工程</t>
  </si>
  <si>
    <t>零星工程-总办环保工程</t>
  </si>
  <si>
    <t>零星工程-总办安全生产工程</t>
  </si>
  <si>
    <t>零星工程-总办工程</t>
  </si>
  <si>
    <t>零星工程-IT工程</t>
  </si>
  <si>
    <t>零星工程-基建工程</t>
  </si>
  <si>
    <t>委外服务-拆装机费</t>
  </si>
  <si>
    <t>设备维保-升级改造</t>
  </si>
  <si>
    <t>设备维保-维修保养</t>
  </si>
  <si>
    <t>设备维保-动力</t>
  </si>
  <si>
    <t>泵类维保</t>
  </si>
  <si>
    <t>备件维修-马达</t>
  </si>
  <si>
    <t>备件维修-电源</t>
  </si>
  <si>
    <t>备件维修-射频</t>
  </si>
  <si>
    <t>设备维修-PVD</t>
  </si>
  <si>
    <t>备件维修-磨具开槽</t>
  </si>
  <si>
    <t>备件维修-衬板喷砂熔射</t>
  </si>
  <si>
    <t>备件维修-电子电器类</t>
  </si>
  <si>
    <t>备件维修-冰水机</t>
  </si>
  <si>
    <t>备件维修-五金杂项</t>
  </si>
  <si>
    <t>备件维修-砂轮</t>
  </si>
  <si>
    <t>备件维修-工装类/切割刀类</t>
  </si>
  <si>
    <t>备件维修-石墨盘/铜盘/陶瓷盘</t>
  </si>
  <si>
    <t>备件维修-针卡</t>
  </si>
  <si>
    <t>自动化-升级改造</t>
  </si>
  <si>
    <t>工时费用</t>
  </si>
  <si>
    <t>大族维保费用</t>
  </si>
  <si>
    <t>Bake炉年保</t>
  </si>
  <si>
    <t>原子束曝光机年保</t>
  </si>
  <si>
    <t>FIB年保</t>
  </si>
  <si>
    <t>其他年保</t>
  </si>
  <si>
    <t>安瑞</t>
  </si>
  <si>
    <t>安瑞</t>
    <phoneticPr fontId="3" type="noConversion"/>
  </si>
  <si>
    <t>安瑞</t>
    <phoneticPr fontId="3" type="noConversion"/>
  </si>
  <si>
    <t>安瑞</t>
    <phoneticPr fontId="3" type="noConversion"/>
  </si>
  <si>
    <t>销售其他服务费</t>
  </si>
  <si>
    <t>1月</t>
    <phoneticPr fontId="3" type="noConversion"/>
  </si>
  <si>
    <t>2月</t>
    <phoneticPr fontId="3" type="noConversion"/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</si>
  <si>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</si>
  <si>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</si>
  <si>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</si>
  <si>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</si>
  <si>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</si>
  <si>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</si>
  <si>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</si>
  <si>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</si>
  <si>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</si>
  <si>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</si>
  <si>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公司代码</t>
    <phoneticPr fontId="3" type="noConversion"/>
  </si>
  <si>
    <t>战略</t>
    <phoneticPr fontId="3" type="noConversion"/>
  </si>
  <si>
    <t>6600010204</t>
  </si>
  <si>
    <t>6600010206</t>
  </si>
  <si>
    <t>6600010207</t>
  </si>
  <si>
    <t>6600010208</t>
  </si>
  <si>
    <t>6600010602</t>
  </si>
  <si>
    <t>6600010603</t>
  </si>
  <si>
    <t>6600010604</t>
  </si>
  <si>
    <t>6600020104</t>
  </si>
  <si>
    <t>6600020107</t>
  </si>
  <si>
    <t>6600020113</t>
  </si>
  <si>
    <t>6600020114</t>
  </si>
  <si>
    <t>6600020301</t>
  </si>
  <si>
    <t>6600020408</t>
  </si>
  <si>
    <t>6600020800</t>
  </si>
  <si>
    <t>6600030101</t>
  </si>
  <si>
    <t>6600030300</t>
  </si>
  <si>
    <t>6600030701</t>
  </si>
  <si>
    <t>6600030703</t>
  </si>
  <si>
    <t>6600032100</t>
  </si>
  <si>
    <t>6600033001</t>
  </si>
  <si>
    <t>6600060300</t>
  </si>
  <si>
    <t>6600060900</t>
  </si>
  <si>
    <t>6600201000</t>
  </si>
  <si>
    <t>2026年预算金额</t>
    <phoneticPr fontId="3" type="noConversion"/>
  </si>
  <si>
    <t>预算归口部门</t>
    <phoneticPr fontId="3" type="noConversion"/>
  </si>
  <si>
    <t>公司代码</t>
  </si>
  <si>
    <t>公司名称</t>
  </si>
  <si>
    <t>1000</t>
  </si>
  <si>
    <t>三安光电股份有限公司</t>
  </si>
  <si>
    <t>2010</t>
  </si>
  <si>
    <t>厦门市三安光电科技有限公司</t>
  </si>
  <si>
    <t>2020</t>
  </si>
  <si>
    <t>天津三安光电有限公司</t>
  </si>
  <si>
    <t>2030</t>
  </si>
  <si>
    <t>安徽三安光电有限公司</t>
  </si>
  <si>
    <t>2040</t>
  </si>
  <si>
    <t>安徽三安气体有限公司</t>
  </si>
  <si>
    <t>2050</t>
  </si>
  <si>
    <t>福建晶安光电有限公司</t>
  </si>
  <si>
    <t>2060</t>
  </si>
  <si>
    <t>Luminus Inc.</t>
  </si>
  <si>
    <t>2070</t>
  </si>
  <si>
    <t>Luminus Devices Inc.</t>
  </si>
  <si>
    <t>2080</t>
  </si>
  <si>
    <t>朗明纳斯（香港）有限公司</t>
  </si>
  <si>
    <t>2090</t>
  </si>
  <si>
    <t>朗明纳斯光电（厦门）有限公司</t>
  </si>
  <si>
    <t>2100</t>
  </si>
  <si>
    <t>厦门三安光电有限公司</t>
  </si>
  <si>
    <t>2110</t>
  </si>
  <si>
    <t>厦门三安气体有限公司</t>
  </si>
  <si>
    <t>2120</t>
  </si>
  <si>
    <t>香港三安光电有限公司</t>
  </si>
  <si>
    <t>2130</t>
  </si>
  <si>
    <t>三安光电子信息通讯有限公司</t>
  </si>
  <si>
    <t>2140</t>
  </si>
  <si>
    <t>三安先进光通讯有限公司</t>
  </si>
  <si>
    <t>2150</t>
  </si>
  <si>
    <t>厦门三安光通讯科技有限公司</t>
  </si>
  <si>
    <t>2160</t>
  </si>
  <si>
    <t>厦门市三安半导体科技有限公司</t>
  </si>
  <si>
    <t>2170</t>
  </si>
  <si>
    <t>泉州三安半导体科技有限公司</t>
  </si>
  <si>
    <t>2180</t>
  </si>
  <si>
    <t>湖北三安光电有限公司</t>
  </si>
  <si>
    <t>2190</t>
  </si>
  <si>
    <t>北京三安光电有限公司</t>
  </si>
  <si>
    <t>2270</t>
  </si>
  <si>
    <t>福建银泽新材料科技有限公司</t>
  </si>
  <si>
    <t>2280</t>
  </si>
  <si>
    <t>湖北艾迈谱光电科技有限公司</t>
  </si>
  <si>
    <t>3010</t>
  </si>
  <si>
    <t>厦门市三安集成电路有限公司</t>
  </si>
  <si>
    <t>3020</t>
  </si>
  <si>
    <t>香港三安集成电路科技有限公司</t>
  </si>
  <si>
    <t>3040</t>
  </si>
  <si>
    <t>上海三安领翔集成电路有限公司</t>
  </si>
  <si>
    <t>3050</t>
  </si>
  <si>
    <t>湖南三安半导体有限责任公司</t>
  </si>
  <si>
    <t>3060</t>
  </si>
  <si>
    <t>福建北电新材料科技有限公司</t>
  </si>
  <si>
    <t>3070</t>
  </si>
  <si>
    <t>泉州市三安集成电路有限公司</t>
  </si>
  <si>
    <t>3080</t>
  </si>
  <si>
    <t>泉州市三安光通讯科技有限公司</t>
  </si>
  <si>
    <t>3090</t>
  </si>
  <si>
    <t>橙方网络科技有限公司</t>
  </si>
  <si>
    <t>3100</t>
  </si>
  <si>
    <t>Hunan San'an Halbleiter G</t>
  </si>
  <si>
    <t>3110</t>
  </si>
  <si>
    <t>湖南三安半导体科技有限公司</t>
  </si>
  <si>
    <t>3120</t>
  </si>
  <si>
    <t>未启用</t>
  </si>
  <si>
    <t>3130</t>
  </si>
  <si>
    <t>3200</t>
  </si>
  <si>
    <t>重庆三安半导体有限责任公司</t>
  </si>
  <si>
    <t>5010</t>
  </si>
  <si>
    <t>芜湖安瑞光电有限公司</t>
  </si>
  <si>
    <t>5020</t>
  </si>
  <si>
    <t>芜湖安瑞光电有限公司西南分公司</t>
  </si>
  <si>
    <t>5030</t>
  </si>
  <si>
    <t>芜湖安瑞光电有限公司台州分公司</t>
  </si>
  <si>
    <t>5040</t>
  </si>
  <si>
    <t>安徽三安科技有限公司</t>
  </si>
  <si>
    <t>5050</t>
  </si>
  <si>
    <t>WIPAC TECHNOLOGY LIMITED</t>
  </si>
  <si>
    <t>5060</t>
  </si>
  <si>
    <t>重庆安瑞光电有限公司</t>
  </si>
  <si>
    <t>5070</t>
  </si>
  <si>
    <t>威派克技术（南京）有限公司</t>
  </si>
  <si>
    <t>5080</t>
  </si>
  <si>
    <t>威派克技术（南京）有限公司台州分公司</t>
  </si>
  <si>
    <t>9010</t>
  </si>
  <si>
    <t>安徽三首光电有限公司</t>
  </si>
  <si>
    <t>总计</t>
  </si>
  <si>
    <t>陈紫薇</t>
    <phoneticPr fontId="3" type="noConversion"/>
  </si>
  <si>
    <t>无预算</t>
    <phoneticPr fontId="3" type="noConversion"/>
  </si>
  <si>
    <t>钱桂姐</t>
    <phoneticPr fontId="3" type="noConversion"/>
  </si>
  <si>
    <t>叶巧霜</t>
    <phoneticPr fontId="3" type="noConversion"/>
  </si>
  <si>
    <t>邱施睿轶</t>
    <phoneticPr fontId="3" type="noConversion"/>
  </si>
  <si>
    <t>吕艳芳</t>
  </si>
  <si>
    <t>熊洁</t>
    <phoneticPr fontId="3" type="noConversion"/>
  </si>
  <si>
    <t>马毅然</t>
    <phoneticPr fontId="3" type="noConversion"/>
  </si>
  <si>
    <t>纪婷婷</t>
    <phoneticPr fontId="3" type="noConversion"/>
  </si>
  <si>
    <t>美旋</t>
    <phoneticPr fontId="3" type="noConversion"/>
  </si>
  <si>
    <t>张晶晶</t>
    <phoneticPr fontId="3" type="noConversion"/>
  </si>
  <si>
    <t>黄黎垚</t>
    <phoneticPr fontId="3" type="noConversion"/>
  </si>
  <si>
    <t>李文博</t>
    <phoneticPr fontId="3" type="noConversion"/>
  </si>
  <si>
    <t>许婷婷</t>
    <phoneticPr fontId="3" type="noConversion"/>
  </si>
  <si>
    <t>王旻婧</t>
    <phoneticPr fontId="3" type="noConversion"/>
  </si>
  <si>
    <t>王林</t>
    <phoneticPr fontId="3" type="noConversion"/>
  </si>
  <si>
    <t>林雅真</t>
    <phoneticPr fontId="3" type="noConversion"/>
  </si>
  <si>
    <t>白国良</t>
    <phoneticPr fontId="3" type="noConversion"/>
  </si>
  <si>
    <t>一级部门编码</t>
  </si>
  <si>
    <t>总经理室</t>
  </si>
  <si>
    <t>运营</t>
  </si>
  <si>
    <t>总经办</t>
  </si>
  <si>
    <t>信息化</t>
  </si>
  <si>
    <t>策划</t>
  </si>
  <si>
    <t>整合</t>
  </si>
  <si>
    <t>动力</t>
  </si>
  <si>
    <t>外延</t>
  </si>
  <si>
    <t>芯片</t>
  </si>
  <si>
    <t>晶片/晶圆</t>
  </si>
  <si>
    <t>晶体</t>
  </si>
  <si>
    <t>材料</t>
  </si>
  <si>
    <t>PSS生产</t>
  </si>
  <si>
    <t>设备</t>
  </si>
  <si>
    <t>封装/封测</t>
  </si>
  <si>
    <t>市场</t>
  </si>
  <si>
    <t>销售</t>
  </si>
  <si>
    <t>市场销售</t>
  </si>
  <si>
    <t>器件</t>
  </si>
  <si>
    <t>生产部门</t>
  </si>
  <si>
    <t>工艺</t>
  </si>
  <si>
    <t>模组生产</t>
  </si>
  <si>
    <t>设备工艺</t>
  </si>
  <si>
    <t>产品课</t>
  </si>
  <si>
    <t>综合管理</t>
  </si>
  <si>
    <t>项目管理</t>
  </si>
  <si>
    <t>经管会/经营层</t>
  </si>
  <si>
    <t>模具设计科</t>
  </si>
  <si>
    <t>检测</t>
  </si>
  <si>
    <t>业务发展</t>
  </si>
  <si>
    <t>工艺研发</t>
  </si>
  <si>
    <t>产品开发</t>
  </si>
  <si>
    <t>技术委员会</t>
  </si>
  <si>
    <t>部门名称</t>
    <phoneticPr fontId="3" type="noConversion"/>
  </si>
  <si>
    <t>00</t>
    <phoneticPr fontId="3" type="noConversion"/>
  </si>
  <si>
    <t>01</t>
    <phoneticPr fontId="3" type="noConversion"/>
  </si>
  <si>
    <t>02</t>
  </si>
  <si>
    <t>03</t>
  </si>
  <si>
    <t>07</t>
  </si>
  <si>
    <t>08</t>
  </si>
  <si>
    <t>05</t>
    <phoneticPr fontId="3" type="noConversion"/>
  </si>
  <si>
    <t>06</t>
    <phoneticPr fontId="3" type="noConversion"/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</si>
  <si>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</si>
  <si>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</si>
  <si>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</si>
  <si>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</si>
  <si>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</si>
  <si>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</si>
  <si>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</si>
  <si>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</si>
  <si>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</si>
  <si>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</si>
  <si>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</si>
  <si>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</si>
  <si>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</si>
  <si>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</si>
  <si>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</si>
  <si>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</si>
  <si>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</si>
  <si>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</si>
  <si>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</si>
  <si>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</si>
  <si>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</si>
  <si>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</si>
  <si>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</si>
  <si>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</si>
  <si>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</si>
  <si>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</si>
  <si>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</si>
  <si>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</si>
  <si>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38</t>
  </si>
  <si>
    <t>39</t>
  </si>
  <si>
    <t>40</t>
  </si>
  <si>
    <t>41</t>
  </si>
  <si>
    <t>42</t>
  </si>
  <si>
    <t>研发部</t>
  </si>
  <si>
    <t>行标签</t>
  </si>
  <si>
    <t>(空白)</t>
  </si>
  <si>
    <t>陈曦</t>
    <phoneticPr fontId="3" type="noConversion"/>
  </si>
  <si>
    <t>紫薇</t>
    <phoneticPr fontId="3" type="noConversion"/>
  </si>
  <si>
    <t>赵文倩</t>
    <phoneticPr fontId="3" type="noConversion"/>
  </si>
  <si>
    <t>王绿茵</t>
    <phoneticPr fontId="3" type="noConversion"/>
  </si>
  <si>
    <t>原珍</t>
    <phoneticPr fontId="3" type="noConversion"/>
  </si>
  <si>
    <t>彭蓉</t>
    <phoneticPr fontId="3" type="noConversion"/>
  </si>
  <si>
    <t>劲松，子尧</t>
    <phoneticPr fontId="3" type="noConversion"/>
  </si>
  <si>
    <t>陈诚仪</t>
    <phoneticPr fontId="3" type="noConversion"/>
  </si>
  <si>
    <t>妙玲</t>
    <phoneticPr fontId="3" type="noConversion"/>
  </si>
  <si>
    <t>家铭，陈宇</t>
    <phoneticPr fontId="3" type="noConversion"/>
  </si>
  <si>
    <t>预算科目名称</t>
    <phoneticPr fontId="3" type="noConversion"/>
  </si>
  <si>
    <t>生产单元</t>
  </si>
  <si>
    <t>01</t>
  </si>
  <si>
    <t>射频</t>
  </si>
  <si>
    <t>05</t>
  </si>
  <si>
    <t>电力电子</t>
  </si>
  <si>
    <t>06</t>
  </si>
  <si>
    <t>安徽科技</t>
  </si>
  <si>
    <t>泉州三安公共部门</t>
  </si>
  <si>
    <t>专项管理</t>
  </si>
  <si>
    <t>00</t>
  </si>
  <si>
    <t>97</t>
  </si>
  <si>
    <t>股份</t>
  </si>
  <si>
    <t>氮化镓</t>
  </si>
  <si>
    <t>砷化镓</t>
  </si>
  <si>
    <t>特种应用</t>
  </si>
  <si>
    <t>光通讯</t>
  </si>
  <si>
    <t>LDI</t>
  </si>
  <si>
    <t>北京三安</t>
  </si>
  <si>
    <t>银泽</t>
  </si>
  <si>
    <t>香港三安</t>
  </si>
  <si>
    <t>香港灯条</t>
  </si>
  <si>
    <t>事业部组织编码</t>
  </si>
  <si>
    <t>简称</t>
  </si>
  <si>
    <t>本部职能</t>
  </si>
  <si>
    <t>LED销售部</t>
  </si>
  <si>
    <t>厦门生产单元</t>
  </si>
  <si>
    <t>芜湖生产单元</t>
  </si>
  <si>
    <t>南安生产单元(GaN)</t>
  </si>
  <si>
    <t>鄂州生产单元</t>
  </si>
  <si>
    <t>南安生产单元(衬底)</t>
  </si>
  <si>
    <t>厦门科技生产单元</t>
  </si>
  <si>
    <t>天津生产单元</t>
  </si>
  <si>
    <t>南安生产单元(GaAs)</t>
  </si>
  <si>
    <t>新材料生产单元</t>
  </si>
  <si>
    <t>南安生产单元(特种其他)</t>
  </si>
  <si>
    <t>射频滤波器业务单元</t>
  </si>
  <si>
    <t>WIPAC</t>
  </si>
  <si>
    <t>37</t>
  </si>
  <si>
    <t>43</t>
  </si>
  <si>
    <t>45</t>
  </si>
  <si>
    <t>98</t>
  </si>
  <si>
    <t>安溪生产单元</t>
  </si>
  <si>
    <t>RGB生产单元</t>
  </si>
  <si>
    <t>艾迈谱生产单元</t>
  </si>
  <si>
    <t>射频GaAs暨NP业务单元</t>
  </si>
  <si>
    <t>日本株式会社</t>
  </si>
  <si>
    <t>湖南三安生产单元</t>
  </si>
  <si>
    <t>重庆三安生产单元</t>
  </si>
  <si>
    <t>欧洲分公司</t>
  </si>
  <si>
    <t>APC</t>
  </si>
  <si>
    <t>台州分公司</t>
  </si>
  <si>
    <t>重庆分公司</t>
  </si>
  <si>
    <t>南京分公司</t>
  </si>
  <si>
    <t>泉州光通讯生产单元</t>
  </si>
  <si>
    <t>国际代工生产单元</t>
  </si>
  <si>
    <t>安徽三安气体</t>
  </si>
  <si>
    <t>湖北深加工生产单元</t>
  </si>
  <si>
    <t>上海三安领翔</t>
  </si>
  <si>
    <t>福建北电生产单元</t>
  </si>
  <si>
    <t>射频NP业务单元</t>
  </si>
  <si>
    <t>射频GaAs业务单元</t>
  </si>
  <si>
    <t>厦门半导体</t>
  </si>
  <si>
    <t>南安生产单元(GaAs)-公共</t>
  </si>
  <si>
    <t>生产单元组织编码</t>
  </si>
  <si>
    <t>事业部编码</t>
    <phoneticPr fontId="3" type="noConversion"/>
  </si>
  <si>
    <t>事业部名称</t>
    <phoneticPr fontId="3" type="noConversion"/>
  </si>
  <si>
    <t>01</t>
    <phoneticPr fontId="3" type="noConversion"/>
  </si>
  <si>
    <t>生产单元编码</t>
    <phoneticPr fontId="3" type="noConversion"/>
  </si>
  <si>
    <t>生产单元名称</t>
    <phoneticPr fontId="3" type="noConversion"/>
  </si>
  <si>
    <t>02</t>
    <phoneticPr fontId="3" type="noConversion"/>
  </si>
  <si>
    <t>公司名称</t>
    <phoneticPr fontId="3" type="noConversion"/>
  </si>
  <si>
    <t>1000</t>
    <phoneticPr fontId="3" type="noConversion"/>
  </si>
  <si>
    <t>一级部门编码</t>
    <phoneticPr fontId="3" type="noConversion"/>
  </si>
  <si>
    <t>一级部门名称</t>
    <phoneticPr fontId="3" type="noConversion"/>
  </si>
  <si>
    <t>01</t>
    <phoneticPr fontId="3" type="noConversion"/>
  </si>
  <si>
    <t>安瑞芜湖生产单元</t>
    <phoneticPr fontId="3" type="noConversion"/>
  </si>
  <si>
    <t>2026年预算金额（单位：元）</t>
    <phoneticPr fontId="3" type="noConversion"/>
  </si>
  <si>
    <t>研发\技术</t>
    <phoneticPr fontId="3" type="noConversion"/>
  </si>
  <si>
    <t>费用类型名称（必填）</t>
  </si>
  <si>
    <t>编码前缀（选填）</t>
  </si>
  <si>
    <t>编码（选填）</t>
  </si>
  <si>
    <t/>
  </si>
  <si>
    <t>SA69</t>
  </si>
  <si>
    <t>SA72</t>
  </si>
  <si>
    <t>SA71</t>
  </si>
  <si>
    <t>SA70</t>
  </si>
  <si>
    <t>SA73</t>
  </si>
  <si>
    <t>差旅费-商旅其他费用（含退改签）</t>
  </si>
  <si>
    <t>SA64</t>
  </si>
  <si>
    <t>住宿</t>
  </si>
  <si>
    <t>01.002</t>
  </si>
  <si>
    <t>飞机</t>
  </si>
  <si>
    <t>01.003</t>
  </si>
  <si>
    <t>火车</t>
  </si>
  <si>
    <t>01.005</t>
  </si>
  <si>
    <t>长途汽车</t>
  </si>
  <si>
    <t>01.006</t>
  </si>
  <si>
    <t>里程补贴</t>
  </si>
  <si>
    <t>员工轮船</t>
  </si>
  <si>
    <t>SA65</t>
  </si>
  <si>
    <t>SA67</t>
  </si>
  <si>
    <t>SA66</t>
  </si>
  <si>
    <t>SA68</t>
  </si>
  <si>
    <t>SA74</t>
  </si>
  <si>
    <t>SA75</t>
  </si>
  <si>
    <t>差旅费-其他差旅费（含退改签）</t>
  </si>
  <si>
    <t>SA76</t>
  </si>
  <si>
    <t>出差差旅费用</t>
  </si>
  <si>
    <t>SA01</t>
  </si>
  <si>
    <t>SA02</t>
  </si>
  <si>
    <t>SA06</t>
  </si>
  <si>
    <t>SA12</t>
  </si>
  <si>
    <t>SA24</t>
  </si>
  <si>
    <t>SA22</t>
  </si>
  <si>
    <t>SA18</t>
  </si>
  <si>
    <t>SA21</t>
  </si>
  <si>
    <t>SA20</t>
  </si>
  <si>
    <t>SA26</t>
  </si>
  <si>
    <t>SA15</t>
  </si>
  <si>
    <t>ZY106</t>
  </si>
  <si>
    <t>SA10</t>
  </si>
  <si>
    <t>ZY105</t>
  </si>
  <si>
    <t>SA27</t>
  </si>
  <si>
    <t>SA16</t>
  </si>
  <si>
    <t>ZY103</t>
  </si>
  <si>
    <t>SA08</t>
  </si>
  <si>
    <t>ZY175</t>
  </si>
  <si>
    <t>SA11</t>
  </si>
  <si>
    <t>SA04</t>
  </si>
  <si>
    <t>SA17</t>
  </si>
  <si>
    <t>SA14</t>
  </si>
  <si>
    <t>SA07</t>
  </si>
  <si>
    <t>SA23</t>
  </si>
  <si>
    <t>SA28</t>
  </si>
  <si>
    <t>SA13</t>
  </si>
  <si>
    <t>SA05</t>
  </si>
  <si>
    <t>SA03</t>
  </si>
  <si>
    <t>SA29</t>
  </si>
  <si>
    <t>SA33</t>
  </si>
  <si>
    <t>ZY176</t>
  </si>
  <si>
    <t>SA09</t>
  </si>
  <si>
    <t>ZY61</t>
  </si>
  <si>
    <t>SA19</t>
  </si>
  <si>
    <t>ZY59</t>
  </si>
  <si>
    <t>ZY58</t>
  </si>
  <si>
    <t>SA131</t>
  </si>
  <si>
    <t>SA130</t>
  </si>
  <si>
    <t>SA127</t>
  </si>
  <si>
    <t>SA126</t>
  </si>
  <si>
    <t>SA129</t>
  </si>
  <si>
    <t>SA132</t>
  </si>
  <si>
    <t>ZY69</t>
  </si>
  <si>
    <t>ZY124</t>
  </si>
  <si>
    <t>SA128</t>
  </si>
  <si>
    <t>ZY107</t>
  </si>
  <si>
    <t>ZY71</t>
  </si>
  <si>
    <t>ZY117</t>
  </si>
  <si>
    <t>ZY104</t>
  </si>
  <si>
    <t>SA36</t>
  </si>
  <si>
    <t>春节交通费</t>
  </si>
  <si>
    <t>SA32</t>
  </si>
  <si>
    <t>SA34</t>
  </si>
  <si>
    <t>SA35</t>
  </si>
  <si>
    <t>SA31</t>
  </si>
  <si>
    <t>SA182</t>
  </si>
  <si>
    <t>SA30</t>
  </si>
  <si>
    <t>SA181</t>
  </si>
  <si>
    <t>SA180</t>
  </si>
  <si>
    <t>通勤补贴</t>
  </si>
  <si>
    <t>SA141</t>
  </si>
  <si>
    <t>SA43</t>
  </si>
  <si>
    <t>SA44</t>
  </si>
  <si>
    <t>SA46</t>
  </si>
  <si>
    <t>SA37</t>
  </si>
  <si>
    <t>SA39</t>
  </si>
  <si>
    <t>SA38</t>
  </si>
  <si>
    <t>SA45</t>
  </si>
  <si>
    <t>SA98</t>
  </si>
  <si>
    <t>SA42</t>
  </si>
  <si>
    <t>SA54</t>
  </si>
  <si>
    <t>SA41</t>
  </si>
  <si>
    <t>SA55</t>
  </si>
  <si>
    <t>SA40</t>
  </si>
  <si>
    <t>SA49</t>
  </si>
  <si>
    <t>SA52</t>
  </si>
  <si>
    <t>SA47</t>
  </si>
  <si>
    <t>SA48</t>
  </si>
  <si>
    <t>SA50</t>
  </si>
  <si>
    <t>SA51</t>
  </si>
  <si>
    <t>SA53</t>
  </si>
  <si>
    <t>SA56</t>
  </si>
  <si>
    <t>ZY68</t>
  </si>
  <si>
    <t>SA60</t>
  </si>
  <si>
    <t>ZY65</t>
  </si>
  <si>
    <t>ZY67</t>
  </si>
  <si>
    <t>ZY62</t>
  </si>
  <si>
    <t>ZY64</t>
  </si>
  <si>
    <t>SA62</t>
  </si>
  <si>
    <t>ZY63</t>
  </si>
  <si>
    <t>SA57</t>
  </si>
  <si>
    <t>SA63</t>
  </si>
  <si>
    <t>ZY66</t>
  </si>
  <si>
    <t>ZY70</t>
  </si>
  <si>
    <t>SA77</t>
  </si>
  <si>
    <t>ZY55</t>
  </si>
  <si>
    <t>ZY72</t>
  </si>
  <si>
    <t>SA58</t>
  </si>
  <si>
    <t>SA61</t>
  </si>
  <si>
    <t>SA87</t>
  </si>
  <si>
    <t>SA82</t>
  </si>
  <si>
    <t>SA83</t>
  </si>
  <si>
    <t>SA81</t>
  </si>
  <si>
    <t>ZY74</t>
  </si>
  <si>
    <t>SA79</t>
  </si>
  <si>
    <t>ZY83</t>
  </si>
  <si>
    <t>SA59</t>
  </si>
  <si>
    <t>SA91</t>
  </si>
  <si>
    <t>ZY79</t>
  </si>
  <si>
    <t>SA84</t>
  </si>
  <si>
    <t>SA86</t>
  </si>
  <si>
    <t>SA80</t>
  </si>
  <si>
    <t>SA78</t>
  </si>
  <si>
    <t>SA99</t>
  </si>
  <si>
    <t>ZY80</t>
  </si>
  <si>
    <t>SA92</t>
  </si>
  <si>
    <t>SA94</t>
  </si>
  <si>
    <t>ZY75</t>
  </si>
  <si>
    <t>ZY73</t>
  </si>
  <si>
    <t>SA89</t>
  </si>
  <si>
    <t>SA90</t>
  </si>
  <si>
    <t>ZY81</t>
  </si>
  <si>
    <t>SA85</t>
  </si>
  <si>
    <t>ZY82</t>
  </si>
  <si>
    <t>SA95</t>
  </si>
  <si>
    <t>SA88</t>
  </si>
  <si>
    <t>ZY57</t>
  </si>
  <si>
    <t>SA93</t>
  </si>
  <si>
    <t>SA103</t>
  </si>
  <si>
    <t>ZY77</t>
  </si>
  <si>
    <t>SA96</t>
  </si>
  <si>
    <t>ZY76</t>
  </si>
  <si>
    <t>SA97</t>
  </si>
  <si>
    <t>SA187</t>
  </si>
  <si>
    <t>ZY78</t>
  </si>
  <si>
    <t>公司派车</t>
  </si>
  <si>
    <t>公司派车失败</t>
  </si>
  <si>
    <t>ZY122</t>
  </si>
  <si>
    <t>SA111</t>
  </si>
  <si>
    <t>SA113</t>
  </si>
  <si>
    <t>SA110</t>
  </si>
  <si>
    <t>SA104</t>
  </si>
  <si>
    <t>ZY123</t>
  </si>
  <si>
    <t>SA119</t>
  </si>
  <si>
    <t>ZY108</t>
  </si>
  <si>
    <t>SA112</t>
  </si>
  <si>
    <t>ZY130</t>
  </si>
  <si>
    <t>SA116</t>
  </si>
  <si>
    <t>SA107</t>
  </si>
  <si>
    <t>SA115</t>
  </si>
  <si>
    <t>SA105</t>
  </si>
  <si>
    <t>ZY10</t>
  </si>
  <si>
    <t>ZY07</t>
  </si>
  <si>
    <t>ZY109</t>
  </si>
  <si>
    <t>ZY118</t>
  </si>
  <si>
    <t>SA109</t>
  </si>
  <si>
    <t>SA114</t>
  </si>
  <si>
    <t>SA118</t>
  </si>
  <si>
    <t>SA122</t>
  </si>
  <si>
    <t>ZY60</t>
  </si>
  <si>
    <t>SA117</t>
  </si>
  <si>
    <t>ZY115</t>
  </si>
  <si>
    <t>SA133</t>
  </si>
  <si>
    <t>ZY119</t>
  </si>
  <si>
    <t>ZY110</t>
  </si>
  <si>
    <t>SA108</t>
  </si>
  <si>
    <t>ZY111</t>
  </si>
  <si>
    <t>ZY132</t>
  </si>
  <si>
    <t>ZY121</t>
  </si>
  <si>
    <t>ZY06</t>
  </si>
  <si>
    <t>ZY114</t>
  </si>
  <si>
    <t>ZY126</t>
  </si>
  <si>
    <t>SA123</t>
  </si>
  <si>
    <t>ZY112</t>
  </si>
  <si>
    <t>ZY131</t>
  </si>
  <si>
    <t>SA125</t>
  </si>
  <si>
    <t>SA106</t>
  </si>
  <si>
    <t>ZY129</t>
  </si>
  <si>
    <t>ZY120</t>
  </si>
  <si>
    <t>SA183</t>
  </si>
  <si>
    <t>SA121</t>
  </si>
  <si>
    <t>ZY127</t>
  </si>
  <si>
    <t>SA120</t>
  </si>
  <si>
    <t>ZY128</t>
  </si>
  <si>
    <t>ZY113</t>
  </si>
  <si>
    <t>SA186</t>
  </si>
  <si>
    <t>SA172</t>
  </si>
  <si>
    <t>ZY125</t>
  </si>
  <si>
    <t>SA173</t>
  </si>
  <si>
    <t>SA153</t>
  </si>
  <si>
    <t>SA135</t>
  </si>
  <si>
    <t>主营业务成本-履约成本-报关及港杂费</t>
  </si>
  <si>
    <t>SA177</t>
  </si>
  <si>
    <t>ZY116</t>
  </si>
  <si>
    <t>SA124</t>
  </si>
  <si>
    <t>SA174</t>
  </si>
  <si>
    <t>SA185</t>
  </si>
  <si>
    <t>SA184</t>
  </si>
  <si>
    <t>SA134</t>
  </si>
  <si>
    <t>SA136</t>
  </si>
  <si>
    <t>SA137</t>
  </si>
  <si>
    <t>主营业务成本-履约成本-保险费（内销）</t>
  </si>
  <si>
    <t>SA176</t>
  </si>
  <si>
    <t>主营业务成本-履约成本-保险费（出口）</t>
  </si>
  <si>
    <t>SA175</t>
  </si>
  <si>
    <t>SA138</t>
  </si>
  <si>
    <t>SA139</t>
  </si>
  <si>
    <t>ZY04</t>
  </si>
  <si>
    <t>ZY177</t>
  </si>
  <si>
    <t>ZY86</t>
  </si>
  <si>
    <t>ZY87</t>
  </si>
  <si>
    <t>ZY85</t>
  </si>
  <si>
    <t>ZY88</t>
  </si>
  <si>
    <t>SA140</t>
  </si>
  <si>
    <t>ZY84</t>
  </si>
  <si>
    <t>SA146</t>
  </si>
  <si>
    <t>SA144</t>
  </si>
  <si>
    <t>SA147</t>
  </si>
  <si>
    <t>SA142</t>
  </si>
  <si>
    <t>SA145</t>
  </si>
  <si>
    <t>SA143</t>
  </si>
  <si>
    <t>ZY94</t>
  </si>
  <si>
    <t>ZY96</t>
  </si>
  <si>
    <t>ZY89</t>
  </si>
  <si>
    <t>ZY92</t>
  </si>
  <si>
    <t>ZY90</t>
  </si>
  <si>
    <t>ZY95</t>
  </si>
  <si>
    <t>SA148</t>
  </si>
  <si>
    <t>SA150</t>
  </si>
  <si>
    <t>SA151</t>
  </si>
  <si>
    <t>ZY102</t>
  </si>
  <si>
    <t>SA149</t>
  </si>
  <si>
    <t>ZY99</t>
  </si>
  <si>
    <t>ZY93</t>
  </si>
  <si>
    <t>ZY97</t>
  </si>
  <si>
    <t>ZY100</t>
  </si>
  <si>
    <t>ZY98</t>
  </si>
  <si>
    <t>ZY101</t>
  </si>
  <si>
    <t>SA152</t>
  </si>
  <si>
    <t>ZY91</t>
  </si>
  <si>
    <t>SA154</t>
  </si>
  <si>
    <t>SA161</t>
  </si>
  <si>
    <t>SA159</t>
  </si>
  <si>
    <t>SA157</t>
  </si>
  <si>
    <t>SA156</t>
  </si>
  <si>
    <t>SA179</t>
  </si>
  <si>
    <t>SA158</t>
  </si>
  <si>
    <t>SA160</t>
  </si>
  <si>
    <t>长期股权投资-投资成本</t>
  </si>
  <si>
    <t>SA188</t>
  </si>
  <si>
    <t>SA178</t>
  </si>
  <si>
    <t>SA155</t>
  </si>
  <si>
    <t>SA163</t>
  </si>
  <si>
    <t>SA162</t>
  </si>
  <si>
    <t>递延收益-与资产相关的政府补贴</t>
  </si>
  <si>
    <t>SA189</t>
  </si>
  <si>
    <t>资产处置损益-处置非流动资产利得</t>
  </si>
  <si>
    <t>SA191</t>
  </si>
  <si>
    <t>其他收益-直接进入其他收益的政府补助</t>
  </si>
  <si>
    <t>SA190</t>
  </si>
  <si>
    <t>SA164</t>
  </si>
  <si>
    <t>SA165</t>
  </si>
  <si>
    <t>SA166</t>
  </si>
  <si>
    <t>SA167</t>
  </si>
  <si>
    <t>SA169</t>
  </si>
  <si>
    <t>SA170</t>
  </si>
  <si>
    <t>SA168</t>
  </si>
  <si>
    <t>SA171</t>
  </si>
  <si>
    <t>新建工程-气体一二次配工程</t>
  </si>
  <si>
    <t>ZY133</t>
  </si>
  <si>
    <t>改造、技改工程-生管工程</t>
  </si>
  <si>
    <t>ZY149</t>
  </si>
  <si>
    <t>改造、技改工程-气体管道一二次配工程</t>
  </si>
  <si>
    <t>ZY145</t>
  </si>
  <si>
    <t>新建工程-总办环保工程</t>
  </si>
  <si>
    <t>ZY140</t>
  </si>
  <si>
    <t>改造、技改工程-总办宿舍工程</t>
  </si>
  <si>
    <t>ZY150</t>
  </si>
  <si>
    <t>新建工程-一二次配工程</t>
  </si>
  <si>
    <t>ZY134</t>
  </si>
  <si>
    <t>新建工程-总办绿化工程</t>
  </si>
  <si>
    <t>ZY142</t>
  </si>
  <si>
    <t>改造、技改工程-一二次配工程</t>
  </si>
  <si>
    <t>ZY146</t>
  </si>
  <si>
    <t>新建工程-IT工程</t>
  </si>
  <si>
    <t>ZY143</t>
  </si>
  <si>
    <t>改造、技改工程-动力工程</t>
  </si>
  <si>
    <t>ZY147</t>
  </si>
  <si>
    <t>新建工程-装修装饰工程</t>
  </si>
  <si>
    <t>ZY137</t>
  </si>
  <si>
    <t>ZY163</t>
  </si>
  <si>
    <t>ZY165</t>
  </si>
  <si>
    <t>ZY162</t>
  </si>
  <si>
    <t>ZY37</t>
  </si>
  <si>
    <t>新建工程-总办食堂工程</t>
  </si>
  <si>
    <t>ZY139</t>
  </si>
  <si>
    <t>新建工程-动力系统工程</t>
  </si>
  <si>
    <t>ZY135</t>
  </si>
  <si>
    <t>改造、技改工程-总办环保工程</t>
  </si>
  <si>
    <t>ZY152</t>
  </si>
  <si>
    <t>ZY39</t>
  </si>
  <si>
    <t>新建工程-基建工程</t>
  </si>
  <si>
    <t>ZY144</t>
  </si>
  <si>
    <t>改造、技改工程-基建工程</t>
  </si>
  <si>
    <t>ZY156</t>
  </si>
  <si>
    <t>新建工程-总办安全生产工程</t>
  </si>
  <si>
    <t>ZY141</t>
  </si>
  <si>
    <t>改造、技改工程-车间工程</t>
  </si>
  <si>
    <t>ZY148</t>
  </si>
  <si>
    <t>ZY172</t>
  </si>
  <si>
    <t>改造、技改工程-总办安全生产工程</t>
  </si>
  <si>
    <t>ZY153</t>
  </si>
  <si>
    <t>新建工程-机电安装工程</t>
  </si>
  <si>
    <t>ZY136</t>
  </si>
  <si>
    <t>ZY36</t>
  </si>
  <si>
    <t>ZY168</t>
  </si>
  <si>
    <t>ZY38</t>
  </si>
  <si>
    <t>ZY161</t>
  </si>
  <si>
    <t>ZY158</t>
  </si>
  <si>
    <t>改造、技改工程-总办食堂工程</t>
  </si>
  <si>
    <t>ZY151</t>
  </si>
  <si>
    <t>ZY166</t>
  </si>
  <si>
    <t>ZY42</t>
  </si>
  <si>
    <t>ZY49</t>
  </si>
  <si>
    <t>新建工程-总办宿舍工程</t>
  </si>
  <si>
    <t>ZY138</t>
  </si>
  <si>
    <t>ZY159</t>
  </si>
  <si>
    <t>改造、技改工程-总办绿化工程</t>
  </si>
  <si>
    <t>ZY154</t>
  </si>
  <si>
    <t>ZY157</t>
  </si>
  <si>
    <t>ZY45</t>
  </si>
  <si>
    <t>ZY164</t>
  </si>
  <si>
    <t>ZY174</t>
  </si>
  <si>
    <t>ZY167</t>
  </si>
  <si>
    <t>改造、技改工程-IT工程</t>
  </si>
  <si>
    <t>ZY155</t>
  </si>
  <si>
    <t>ZY160</t>
  </si>
  <si>
    <t>ZY43</t>
  </si>
  <si>
    <t>ZY41</t>
  </si>
  <si>
    <t>ZY48</t>
  </si>
  <si>
    <t>ZY51</t>
  </si>
  <si>
    <t>ZY52</t>
  </si>
  <si>
    <t>ZY50</t>
  </si>
  <si>
    <t>ZY173</t>
  </si>
  <si>
    <t>ZY53</t>
  </si>
  <si>
    <t>ZY46</t>
  </si>
  <si>
    <t>ZY170</t>
  </si>
  <si>
    <t>ZY47</t>
  </si>
  <si>
    <t>ZY54</t>
  </si>
  <si>
    <t>ZY40</t>
  </si>
  <si>
    <t>ZY169</t>
  </si>
  <si>
    <t>ZY44</t>
  </si>
  <si>
    <t>ZY171</t>
  </si>
  <si>
    <t>子公司代扣费用</t>
  </si>
  <si>
    <t>SA192</t>
  </si>
  <si>
    <t>集团外保证金</t>
  </si>
  <si>
    <t>SA193</t>
  </si>
  <si>
    <t>集团外押金</t>
  </si>
  <si>
    <t>SA194</t>
  </si>
  <si>
    <t>应付融资租入固定资产租赁费</t>
  </si>
  <si>
    <t>SA195</t>
  </si>
  <si>
    <t>预算科目名称（必填）</t>
  </si>
  <si>
    <t>允许占用此科目的费用类型（选填）</t>
  </si>
  <si>
    <t>总办其他服务费（删除）</t>
  </si>
  <si>
    <t>其他</t>
  </si>
  <si>
    <t>预算【不管控科目】</t>
  </si>
  <si>
    <t>编码</t>
  </si>
  <si>
    <t>编码</t>
    <phoneticPr fontId="3" type="noConversion"/>
  </si>
  <si>
    <t>新建费用类型</t>
    <phoneticPr fontId="3" type="noConversion"/>
  </si>
  <si>
    <t>预算科目从“其他”调整为“预算【不管控科目】”</t>
    <phoneticPr fontId="3" type="noConversion"/>
  </si>
  <si>
    <t>新建预算科目“销售其他服务费”，费用类型SA118归属于新预算科目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</si>
</sst>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24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rgb="FF000000"/>
      <name val="宋体"/>
      <family val="3"/>
      <charset val="134"/>
    </font>
    <font>
      <sz val="9"/>
      <color rgb="FFFF0000"/>
      <name val="宋体"/>
      <family val="3"/>
      <charset val="134"/>
    </font>
    <font>
      <sz val="9"/>
      <color rgb="FF000000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rgb="FFFF0000"/>
      <name val="宋体"/>
      <family val="3"/>
      <charset val="134"/>
      <scheme val="minor"/>
    </font>
    <font>
      <sz val="13"/>
      <name val="微软雅黑"/>
      <family val="2"/>
      <charset val="134"/>
    </font>
    <font>
      <sz val="1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48C42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748C42"/>
      </top>
      <bottom style="thin">
        <color rgb="FFEAF1DD"/>
      </bottom>
      <diagonal/>
    </border>
    <border>
      <left style="thin">
        <color rgb="FFDEE0E3"/>
      </left>
      <right style="thin">
        <color rgb="FFDEE0E3"/>
      </right>
      <top style="thin">
        <color rgb="FFEAF1DD"/>
      </top>
      <bottom style="thin">
        <color rgb="FFEAF1DD"/>
      </bottom>
      <diagonal/>
    </border>
    <border>
      <left style="thin">
        <color rgb="FFDEE0E3"/>
      </left>
      <right style="thin">
        <color rgb="FFDEE0E3"/>
      </right>
      <top style="thin">
        <color rgb="FFEAF1DD"/>
      </top>
      <bottom style="thin">
        <color rgb="FFC2D69B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>
      <alignment vertical="center"/>
    </xf>
    <xf numFmtId="0" fontId="1" fillId="0" borderId="0"/>
    <xf numFmtId="0" fontId="14" fillId="0" borderId="0">
      <alignment vertical="center"/>
    </xf>
  </cellStyleXfs>
  <cellXfs count="79">
    <xf numFmtId="0" fontId="0" fillId="0" borderId="0" xfId="0"/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49" fontId="3" fillId="0" borderId="3" xfId="0" applyNumberFormat="1" applyFont="1" applyFill="1" applyBorder="1" applyAlignment="1">
      <alignment horizontal="left" vertical="center"/>
    </xf>
    <xf numFmtId="49" fontId="3" fillId="0" borderId="3" xfId="0" applyNumberFormat="1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49" fontId="3" fillId="0" borderId="3" xfId="0" applyNumberFormat="1" applyFont="1" applyFill="1" applyBorder="1" applyAlignment="1">
      <alignment vertical="center" wrapText="1"/>
    </xf>
    <xf numFmtId="49" fontId="3" fillId="0" borderId="3" xfId="0" applyNumberFormat="1" applyFont="1" applyFill="1" applyBorder="1" applyAlignment="1">
      <alignment horizontal="left" vertical="center" wrapText="1"/>
    </xf>
    <xf numFmtId="49" fontId="3" fillId="3" borderId="3" xfId="0" applyNumberFormat="1" applyFont="1" applyFill="1" applyBorder="1" applyAlignment="1">
      <alignment vertical="center"/>
    </xf>
    <xf numFmtId="49" fontId="3" fillId="0" borderId="5" xfId="0" applyNumberFormat="1" applyFont="1" applyFill="1" applyBorder="1" applyAlignment="1">
      <alignment horizontal="left" vertical="center"/>
    </xf>
    <xf numFmtId="49" fontId="3" fillId="0" borderId="5" xfId="0" applyNumberFormat="1" applyFont="1" applyFill="1" applyBorder="1" applyAlignment="1">
      <alignment horizontal="left" vertical="center" wrapText="1"/>
    </xf>
    <xf numFmtId="49" fontId="3" fillId="0" borderId="5" xfId="0" applyNumberFormat="1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49" fontId="3" fillId="0" borderId="4" xfId="0" applyNumberFormat="1" applyFont="1" applyFill="1" applyBorder="1" applyAlignment="1">
      <alignment horizontal="left" vertical="center"/>
    </xf>
    <xf numFmtId="49" fontId="3" fillId="0" borderId="4" xfId="0" applyNumberFormat="1" applyFont="1" applyFill="1" applyBorder="1" applyAlignment="1">
      <alignment horizontal="left" vertical="center" wrapText="1"/>
    </xf>
    <xf numFmtId="49" fontId="3" fillId="0" borderId="4" xfId="0" applyNumberFormat="1" applyFont="1" applyFill="1" applyBorder="1" applyAlignment="1">
      <alignment vertical="center"/>
    </xf>
    <xf numFmtId="0" fontId="3" fillId="0" borderId="3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/>
    </xf>
    <xf numFmtId="49" fontId="3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/>
    </xf>
    <xf numFmtId="0" fontId="5" fillId="3" borderId="3" xfId="0" applyFont="1" applyFill="1" applyBorder="1" applyAlignment="1">
      <alignment vertical="center"/>
    </xf>
    <xf numFmtId="43" fontId="11" fillId="0" borderId="0" xfId="1" applyFont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0" borderId="9" xfId="0" applyFont="1" applyBorder="1"/>
    <xf numFmtId="0" fontId="15" fillId="4" borderId="8" xfId="0" applyFont="1" applyFill="1" applyBorder="1"/>
    <xf numFmtId="0" fontId="15" fillId="5" borderId="9" xfId="0" applyFont="1" applyFill="1" applyBorder="1"/>
    <xf numFmtId="0" fontId="15" fillId="0" borderId="0" xfId="0" applyFont="1"/>
    <xf numFmtId="0" fontId="16" fillId="0" borderId="7" xfId="0" applyFont="1" applyBorder="1" applyAlignment="1">
      <alignment vertical="center"/>
    </xf>
    <xf numFmtId="0" fontId="15" fillId="5" borderId="10" xfId="0" quotePrefix="1" applyFont="1" applyFill="1" applyBorder="1"/>
    <xf numFmtId="0" fontId="15" fillId="5" borderId="9" xfId="0" quotePrefix="1" applyFont="1" applyFill="1" applyBorder="1"/>
    <xf numFmtId="0" fontId="17" fillId="0" borderId="9" xfId="0" applyFont="1" applyBorder="1"/>
    <xf numFmtId="0" fontId="0" fillId="0" borderId="0" xfId="0" applyAlignment="1">
      <alignment horizontal="left"/>
    </xf>
    <xf numFmtId="0" fontId="11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Font="1" applyAlignment="1">
      <alignment horizontal="left"/>
    </xf>
    <xf numFmtId="0" fontId="18" fillId="0" borderId="0" xfId="0" applyFont="1"/>
    <xf numFmtId="49" fontId="2" fillId="3" borderId="1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49" fontId="3" fillId="3" borderId="4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vertical="center" wrapText="1"/>
    </xf>
    <xf numFmtId="49" fontId="3" fillId="3" borderId="0" xfId="0" applyNumberFormat="1" applyFont="1" applyFill="1" applyAlignment="1">
      <alignment vertical="center" wrapText="1"/>
    </xf>
    <xf numFmtId="43" fontId="0" fillId="0" borderId="0" xfId="1" applyFont="1" applyAlignment="1"/>
    <xf numFmtId="0" fontId="11" fillId="6" borderId="0" xfId="0" applyFont="1" applyFill="1" applyAlignment="1">
      <alignment horizontal="center" vertical="center"/>
    </xf>
    <xf numFmtId="0" fontId="0" fillId="6" borderId="0" xfId="0" applyFont="1" applyFill="1" applyAlignment="1">
      <alignment horizontal="left"/>
    </xf>
    <xf numFmtId="0" fontId="0" fillId="6" borderId="0" xfId="0" applyFill="1"/>
    <xf numFmtId="49" fontId="11" fillId="0" borderId="0" xfId="0" applyNumberFormat="1" applyFont="1" applyAlignment="1">
      <alignment horizontal="center" vertical="center"/>
    </xf>
    <xf numFmtId="49" fontId="0" fillId="0" borderId="0" xfId="0" quotePrefix="1" applyNumberFormat="1"/>
    <xf numFmtId="49" fontId="0" fillId="0" borderId="0" xfId="0" applyNumberFormat="1"/>
    <xf numFmtId="49" fontId="0" fillId="0" borderId="0" xfId="0" quotePrefix="1" applyNumberFormat="1" applyFont="1" applyAlignment="1">
      <alignment horizontal="left"/>
    </xf>
    <xf numFmtId="49" fontId="0" fillId="0" borderId="0" xfId="0" applyNumberFormat="1" applyFont="1" applyAlignment="1">
      <alignment horizontal="left"/>
    </xf>
    <xf numFmtId="49" fontId="21" fillId="0" borderId="3" xfId="0" applyNumberFormat="1" applyFont="1" applyFill="1" applyBorder="1" applyAlignment="1">
      <alignment vertical="center"/>
    </xf>
    <xf numFmtId="49" fontId="22" fillId="0" borderId="0" xfId="3" applyNumberFormat="1" applyFont="1" applyAlignment="1">
      <alignment horizontal="center" vertical="center"/>
    </xf>
    <xf numFmtId="49" fontId="22" fillId="0" borderId="0" xfId="3" applyNumberFormat="1" applyFont="1" applyAlignment="1">
      <alignment horizontal="left" vertical="center"/>
    </xf>
    <xf numFmtId="49" fontId="22" fillId="0" borderId="0" xfId="0" applyNumberFormat="1" applyFont="1" applyAlignment="1">
      <alignment horizontal="center" vertical="center"/>
    </xf>
    <xf numFmtId="0" fontId="0" fillId="3" borderId="0" xfId="0" applyFill="1"/>
    <xf numFmtId="0" fontId="12" fillId="3" borderId="0" xfId="0" applyFont="1" applyFill="1"/>
    <xf numFmtId="0" fontId="13" fillId="3" borderId="0" xfId="0" applyFont="1" applyFill="1"/>
    <xf numFmtId="0" fontId="12" fillId="0" borderId="0" xfId="0" applyFont="1" applyAlignment="1">
      <alignment vertical="center"/>
    </xf>
    <xf numFmtId="49" fontId="23" fillId="0" borderId="0" xfId="3" applyNumberFormat="1" applyFont="1" applyAlignment="1">
      <alignment horizontal="left" vertical="center"/>
    </xf>
  </cellXfs>
  <cellStyles count="4">
    <cellStyle name="常规" xfId="0" builtinId="0"/>
    <cellStyle name="常规 2" xfId="3"/>
    <cellStyle name="常规 2 2" xfId="2"/>
    <cellStyle name="千位分隔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01004225\Desktop\&#36153;&#25511;&#39033;&#30446;\&#27599;&#21051;&#31995;&#32479;&#39044;&#31639;&#23548;&#20837;&#27169;&#26495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作者" refreshedDate="46015.410736342594" createdVersion="5" refreshedVersion="5" minRefreshableVersion="3" recordCount="353">
  <cacheSource type="worksheet">
    <worksheetSource ref="A1:F354" sheet="费控系统费用类型明细表" r:id="rId2"/>
  </cacheSource>
  <cacheFields count="6">
    <cacheField name="会计科目编码" numFmtId="49">
      <sharedItems/>
    </cacheField>
    <cacheField name="会计科目名称" numFmtId="49">
      <sharedItems/>
    </cacheField>
    <cacheField name="所属分类名称-新分类名称" numFmtId="49">
      <sharedItems/>
    </cacheField>
    <cacheField name="费用类型名称_x000a_（必填）-费控系统" numFmtId="49">
      <sharedItems/>
    </cacheField>
    <cacheField name="预算科目名称" numFmtId="0">
      <sharedItems/>
    </cacheField>
    <cacheField name="预算归口部门(按会计科目）" numFmtId="0">
      <sharedItems containsBlank="1" count="18">
        <s v="人资"/>
        <s v="总办"/>
        <s v="品管"/>
        <s v="财务"/>
        <s v="IT"/>
        <s v="战略"/>
        <s v="风控"/>
        <s v="技术中心"/>
        <s v="销售部"/>
        <s v="各工厂生产部门"/>
        <s v="采购"/>
        <s v="生管/采购（关务）"/>
        <s v="基建"/>
        <s v="安瑞"/>
        <m/>
        <s v="安徽气体"/>
        <s v="安瑞市场部"/>
        <s v="证券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3">
  <r>
    <s v="6600010124"/>
    <s v="人工-员工辞退福利（裁剪冗员补偿款）"/>
    <s v="离职费用"/>
    <s v="离职经济补偿金"/>
    <s v="员工辞退成本"/>
    <x v="0"/>
  </r>
  <r>
    <s v="6600010124"/>
    <s v="人工-员工辞退福利（裁剪冗员补偿款）"/>
    <s v="离职费用"/>
    <s v="竞业限制补偿金"/>
    <s v="员工辞退成本"/>
    <x v="0"/>
  </r>
  <r>
    <s v="6600010201"/>
    <s v="人工-福利费用-宿舍费用"/>
    <s v="福利费用"/>
    <s v="宿舍福利-房租"/>
    <s v="宿舍费用"/>
    <x v="1"/>
  </r>
  <r>
    <s v="6600010201"/>
    <s v="人工-福利费用-宿舍费用"/>
    <s v="福利费用"/>
    <s v="宿舍福利-能源费用"/>
    <s v="宿舍费用"/>
    <x v="1"/>
  </r>
  <r>
    <s v="6600010201"/>
    <s v="人工-福利费用-宿舍费用"/>
    <s v="福利费用"/>
    <s v="宿舍福利-能源费用"/>
    <s v="宿舍费用"/>
    <x v="1"/>
  </r>
  <r>
    <s v="6600010201"/>
    <s v="人工-福利费用-宿舍费用"/>
    <s v="福利费用"/>
    <s v="宿舍福利-能源费用"/>
    <s v="宿舍费用"/>
    <x v="1"/>
  </r>
  <r>
    <s v="6600010201"/>
    <s v="人工-福利费用-宿舍费用"/>
    <s v="福利费用"/>
    <s v="宿舍福利-物业费"/>
    <s v="宿舍费用"/>
    <x v="1"/>
  </r>
  <r>
    <s v="6600010201"/>
    <s v="人工-福利费用-宿舍费用"/>
    <s v="修理费"/>
    <s v="宿舍福利-修理费"/>
    <s v="宿舍费用"/>
    <x v="1"/>
  </r>
  <r>
    <s v="6600010201"/>
    <s v="人工-福利费用-宿舍费用"/>
    <s v="福利费用"/>
    <s v="宿舍福利-卫星电视费"/>
    <s v="宿舍费用"/>
    <x v="1"/>
  </r>
  <r>
    <s v="6600010201"/>
    <s v="人工-福利费用-宿舍费用"/>
    <s v="福利费用"/>
    <s v="宿舍福利-宽带网络费用"/>
    <s v="宿舍费用"/>
    <x v="1"/>
  </r>
  <r>
    <s v="6600010201"/>
    <s v="人工-福利费用-宿舍费用"/>
    <s v="福利费用"/>
    <s v="宿舍福利-奖励费用"/>
    <s v="宿舍费用"/>
    <x v="1"/>
  </r>
  <r>
    <s v="6600010201"/>
    <s v="人工-福利费用-宿舍费用"/>
    <s v="福利费用"/>
    <s v="宿舍福利-家具家电"/>
    <s v="宿舍费用"/>
    <x v="1"/>
  </r>
  <r>
    <s v="6600010201"/>
    <s v="人工-福利费用-宿舍费用"/>
    <s v="清洁费"/>
    <s v="宿舍福利-清洁费"/>
    <s v="宿舍费用"/>
    <x v="1"/>
  </r>
  <r>
    <s v="6600010201"/>
    <s v="人工-福利费用-宿舍费用"/>
    <s v="福利费用"/>
    <s v="宿舍福利-员工制服"/>
    <s v="宿舍费用"/>
    <x v="1"/>
  </r>
  <r>
    <s v="6600010201"/>
    <s v="人工-福利费用-宿舍费用"/>
    <s v="福利费用"/>
    <s v="宿舍福利-宿舍物资"/>
    <s v="宿舍费用"/>
    <x v="1"/>
  </r>
  <r>
    <s v="6600010201"/>
    <s v="人工-福利费用-宿舍费用"/>
    <s v="福利费用"/>
    <s v="宿舍福利-搬迁劳务费"/>
    <s v="宿舍费用"/>
    <x v="1"/>
  </r>
  <r>
    <s v="6600010201"/>
    <s v="人工-福利费用-宿舍费用"/>
    <s v="福利费用"/>
    <s v="宿舍福利-其他费用"/>
    <s v="宿舍费用"/>
    <x v="1"/>
  </r>
  <r>
    <s v="6600010202"/>
    <s v="人工-福利费用-食堂费用"/>
    <s v="福利费用"/>
    <s v="食堂福利-食堂耗材"/>
    <s v="食堂费用"/>
    <x v="1"/>
  </r>
  <r>
    <s v="6600010202"/>
    <s v="人工-福利费用-食堂费用"/>
    <s v="修理费"/>
    <s v="食堂福利-修理费"/>
    <s v="食堂费用"/>
    <x v="1"/>
  </r>
  <r>
    <s v="6600010202"/>
    <s v="人工-福利费用-食堂费用"/>
    <s v="福利费用"/>
    <s v="食堂福利-能源费用"/>
    <s v="食堂费用"/>
    <x v="1"/>
  </r>
  <r>
    <s v="6600010202"/>
    <s v="人工-福利费用-食堂费用"/>
    <s v="福利费用"/>
    <s v="食堂福利-能源费用"/>
    <s v="食堂费用"/>
    <x v="1"/>
  </r>
  <r>
    <s v="6600010202"/>
    <s v="人工-福利费用-食堂费用"/>
    <s v="福利费用"/>
    <s v="食堂福利-能源费用"/>
    <s v="食堂费用"/>
    <x v="1"/>
  </r>
  <r>
    <s v="6600010202"/>
    <s v="人工-福利费用-食堂费用"/>
    <s v="清洁费"/>
    <s v="食堂福利-清洁费"/>
    <s v="食堂费用"/>
    <x v="1"/>
  </r>
  <r>
    <s v="6600010202"/>
    <s v="人工-福利费用-食堂费用"/>
    <s v="福利费用"/>
    <s v="食堂福利-劳保用品"/>
    <s v="食堂费用"/>
    <x v="1"/>
  </r>
  <r>
    <s v="6600010202"/>
    <s v="人工-福利费用-食堂费用"/>
    <s v="福利费用"/>
    <s v="食堂福利-食堂物资费用"/>
    <s v="食堂费用"/>
    <x v="1"/>
  </r>
  <r>
    <s v="6600010202"/>
    <s v="人工-福利费用-食堂费用"/>
    <s v="福利费用"/>
    <s v="食堂福利-检测费用"/>
    <s v="食堂费用"/>
    <x v="1"/>
  </r>
  <r>
    <s v="6600010202"/>
    <s v="人工-福利费用-食堂费用"/>
    <s v="福利费用"/>
    <s v="食堂福利-员工制服"/>
    <s v="食堂费用"/>
    <x v="1"/>
  </r>
  <r>
    <s v="6600010202"/>
    <s v="人工-福利费用-食堂费用"/>
    <s v="福利费用"/>
    <s v="其他福利-福利社费用"/>
    <s v="总办其他福利费"/>
    <x v="1"/>
  </r>
  <r>
    <s v="6600010202"/>
    <s v="人工-福利费用-食堂费用"/>
    <s v="福利费用"/>
    <s v="其他福利-外租档口结算"/>
    <s v="总办其他福利费"/>
    <x v="1"/>
  </r>
  <r>
    <s v="6600010202"/>
    <s v="人工-福利费用-食堂费用"/>
    <s v="福利费用"/>
    <s v="食堂福利-员工餐费"/>
    <s v="食堂费用"/>
    <x v="1"/>
  </r>
  <r>
    <s v="6600010202"/>
    <s v="人工-福利费用-食堂费用"/>
    <s v="福利费用"/>
    <s v="食堂福利-家具家电"/>
    <s v="食堂费用"/>
    <x v="1"/>
  </r>
  <r>
    <s v="6600010202"/>
    <s v="人工-福利费用-食堂费用"/>
    <s v="福利费用"/>
    <s v="食堂福利-其他费用"/>
    <s v="食堂费用"/>
    <x v="1"/>
  </r>
  <r>
    <s v="6600010203"/>
    <s v="人工-福利费用-其他福利费"/>
    <s v="福利费用"/>
    <s v="其他福利-员工体检费"/>
    <s v="总办其他福利费"/>
    <x v="1"/>
  </r>
  <r>
    <s v="6600010203"/>
    <s v="人工-福利费用-其他福利费"/>
    <s v="福利费用"/>
    <s v="其他福利-职工医疗互助费用"/>
    <s v="总办其他福利费"/>
    <x v="1"/>
  </r>
  <r>
    <s v="6600010203"/>
    <s v="人工-福利费用-其他福利费"/>
    <s v="福利费用"/>
    <s v="其他福利-集体活动福利"/>
    <s v="总办其他福利费"/>
    <x v="1"/>
  </r>
  <r>
    <s v="6600010203"/>
    <s v="人工-福利费用-其他福利费"/>
    <s v="福利费用"/>
    <s v="其他福利-节日福利"/>
    <s v="总办其他福利费"/>
    <x v="1"/>
  </r>
  <r>
    <s v="6600010203"/>
    <s v="人工-福利费用-其他福利费"/>
    <s v="福利费用"/>
    <s v="其他福利-文体设施费用"/>
    <s v="总办其他福利费"/>
    <x v="1"/>
  </r>
  <r>
    <s v="6600010203"/>
    <s v="人工-福利费用-其他福利费"/>
    <s v="福利费用"/>
    <s v="其他福利-司机误餐费用(非出差）"/>
    <s v="总办其他福利费"/>
    <x v="1"/>
  </r>
  <r>
    <s v="6600010203"/>
    <s v="人工-福利费用-其他福利费"/>
    <s v="福利费用"/>
    <s v="其他福利-评优奖金"/>
    <s v="总办其他福利费"/>
    <x v="1"/>
  </r>
  <r>
    <s v="6600010203"/>
    <s v="人工-福利费用-其他福利费"/>
    <s v="福利费用"/>
    <s v="其他福利-茶叶费用"/>
    <s v="总办其他福利费"/>
    <x v="1"/>
  </r>
  <r>
    <s v="6600010203"/>
    <s v="人工-福利费用-其他福利费"/>
    <s v="福利费用"/>
    <s v="其他福利-水果点心费用"/>
    <s v="总办其他福利费"/>
    <x v="1"/>
  </r>
  <r>
    <s v="6600010203"/>
    <s v="人工-福利费用-其他福利费"/>
    <s v="福利费用"/>
    <s v="其他福利-旺年会"/>
    <s v="总办其他福利费"/>
    <x v="1"/>
  </r>
  <r>
    <s v="6600010203"/>
    <s v="人工-福利费用-其他福利费"/>
    <s v="职工福利费（人资）"/>
    <s v="生日礼金"/>
    <s v="人资职工福利费"/>
    <x v="0"/>
  </r>
  <r>
    <s v="6600010203"/>
    <s v="人工-福利费用-其他福利费"/>
    <s v="职工福利费（人资）"/>
    <s v="员工关怀走访费用"/>
    <s v="人资职工福利费"/>
    <x v="0"/>
  </r>
  <r>
    <s v="6600010203"/>
    <s v="人工-福利费用-其他福利费"/>
    <s v="福利费用"/>
    <s v="其他福利-质量活动（品管）"/>
    <s v="品管其他福利费"/>
    <x v="2"/>
  </r>
  <r>
    <s v="6600010203"/>
    <s v="人工-福利费用-其他福利费"/>
    <s v="职工福利费（人资）"/>
    <s v="交通补贴"/>
    <s v="人资职工福利费"/>
    <x v="0"/>
  </r>
  <r>
    <s v="6600010203"/>
    <s v="人工-福利费用-其他福利费"/>
    <s v="职工福利费（人资）"/>
    <s v="交通补贴"/>
    <s v="人资职工福利费"/>
    <x v="0"/>
  </r>
  <r>
    <s v="6600010204"/>
    <s v="人工-福利费用-通勤车费"/>
    <s v="福利费用"/>
    <s v="其他福利-通勤车费"/>
    <s v="总办其他福利费"/>
    <x v="1"/>
  </r>
  <r>
    <s v="6600010205"/>
    <s v="人工-福利费用-探亲交通费"/>
    <s v="职工福利费（人资）"/>
    <s v="探亲交通费"/>
    <s v="人资职工福利费"/>
    <x v="0"/>
  </r>
  <r>
    <s v="6600010206"/>
    <s v="人工-福利费用-丧葬慰问金"/>
    <s v="职工福利费（人资）"/>
    <s v="丧葬慰问金"/>
    <s v="人资职工福利费"/>
    <x v="0"/>
  </r>
  <r>
    <s v="6600010207"/>
    <s v="人工-福利费用-生活困难补助 "/>
    <s v="职工福利费（人资）"/>
    <s v="生活困难补助"/>
    <s v="人资职工福利费"/>
    <x v="0"/>
  </r>
  <r>
    <s v="6600010208"/>
    <s v="人工-福利费用-生病住院/工伤慰问金"/>
    <s v="职工福利费（人资）"/>
    <s v="生病住院/工伤慰问金"/>
    <s v="人资职工福利费"/>
    <x v="0"/>
  </r>
  <r>
    <s v="6600010306"/>
    <s v="人工-个人商业保险-其他保险费"/>
    <s v="职工福利费（人资）"/>
    <s v="商业保险费"/>
    <s v="人资职工福利费"/>
    <x v="0"/>
  </r>
  <r>
    <s v="6600010500"/>
    <s v="人工-部门活动经费"/>
    <s v="职工福利费（人资）"/>
    <s v="部门活动经费"/>
    <s v="部门活动经费"/>
    <x v="0"/>
  </r>
  <r>
    <s v="6600010602"/>
    <s v="人工-人事费-其他人事费"/>
    <s v="招聘成本"/>
    <s v="招聘宣传费"/>
    <s v="招聘费用"/>
    <x v="0"/>
  </r>
  <r>
    <s v="6600010602"/>
    <s v="人工-人事费-其他人事费"/>
    <s v="招聘成本"/>
    <s v="招聘差旅费（含面试住宿费）"/>
    <s v="招聘费用"/>
    <x v="0"/>
  </r>
  <r>
    <s v="6600010602"/>
    <s v="人工-人事费-其他人事费"/>
    <s v="招聘成本"/>
    <s v="入职前竞调费用"/>
    <s v="招聘费用"/>
    <x v="0"/>
  </r>
  <r>
    <s v="6600010602"/>
    <s v="人工-人事费-其他人事费"/>
    <s v="其他人工成本"/>
    <s v="离职后竞调费用"/>
    <s v="人事服务费"/>
    <x v="0"/>
  </r>
  <r>
    <s v="6600010602"/>
    <s v="人工-人事费-其他人事费"/>
    <s v="‌其他人工成本"/>
    <s v="第三方服务费"/>
    <s v="人事服务费"/>
    <x v="0"/>
  </r>
  <r>
    <s v="6600010603"/>
    <s v="人工-人事费-中介服务费-普通中介费用"/>
    <s v="招聘成本"/>
    <s v="人事费-普通中介费用-正式员工"/>
    <s v="招聘费用"/>
    <x v="0"/>
  </r>
  <r>
    <s v="6600010603"/>
    <s v="人工-人事费-中介服务费-普通中介费用"/>
    <s v="招聘成本"/>
    <s v="人事费-普通中介费用-劳务派遣"/>
    <s v="招聘费用"/>
    <x v="0"/>
  </r>
  <r>
    <s v="6600010604"/>
    <s v="人工-人事费-中介服务费-猎头公司费用"/>
    <s v="招聘成本"/>
    <s v="人事费-猎头公司费用"/>
    <s v="招聘费用"/>
    <x v="0"/>
  </r>
  <r>
    <s v="6600010605"/>
    <s v="人工-人事费-中介服务费-招聘网站费用"/>
    <s v="招聘成本"/>
    <s v="人事费-招聘网站费用"/>
    <s v="招聘费用"/>
    <x v="0"/>
  </r>
  <r>
    <s v="6600010606"/>
    <s v="人工-人事费-中介服务费-校企合作费用"/>
    <s v="招聘成本"/>
    <s v="人事费-校企合作费用"/>
    <s v="招聘费用"/>
    <x v="0"/>
  </r>
  <r>
    <s v="6600010607"/>
    <s v="人工-职工教育经费-学历提升"/>
    <s v="职工教育经费"/>
    <s v="继续教育费"/>
    <s v="职工教育经费"/>
    <x v="0"/>
  </r>
  <r>
    <s v="6600010608"/>
    <s v="人工-职工教育经费-外部讲师"/>
    <s v="职工教育经费"/>
    <s v="外部讲师费"/>
    <s v="职工教育经费"/>
    <x v="0"/>
  </r>
  <r>
    <s v="6600010609"/>
    <s v="人工-职工教育经费-其他"/>
    <s v="职工教育经费"/>
    <s v="培训服务费"/>
    <s v="职工教育经费"/>
    <x v="0"/>
  </r>
  <r>
    <s v="6600010609"/>
    <s v="人工-职工教育经费-其他"/>
    <s v="职工教育经费"/>
    <s v="培训设施费"/>
    <s v="职工教育经费"/>
    <x v="0"/>
  </r>
  <r>
    <s v="6600010609"/>
    <s v="人工-职工教育经费-其他"/>
    <s v="职工教育经费"/>
    <s v="取证费"/>
    <s v="职工教育经费"/>
    <x v="0"/>
  </r>
  <r>
    <s v="6600010609"/>
    <s v="人工-职工教育经费-其他"/>
    <s v="职工教育经费"/>
    <s v="其他培训费"/>
    <s v="职工教育经费"/>
    <x v="0"/>
  </r>
  <r>
    <s v="6600010700"/>
    <s v="工会经费"/>
    <s v="工会经费"/>
    <s v="工会经费"/>
    <s v="工会经费"/>
    <x v="3"/>
  </r>
  <r>
    <s v="6600010800"/>
    <s v="人工-劳务费"/>
    <s v="其他人工成本"/>
    <s v="劳务报酬"/>
    <s v="劳务费"/>
    <x v="0"/>
  </r>
  <r>
    <s v="6600010900"/>
    <s v="残保金"/>
    <s v="‌其他人工成本"/>
    <s v="残保金"/>
    <s v="残保金"/>
    <x v="0"/>
  </r>
  <r>
    <s v="6600020102"/>
    <s v="办公运营费-办公费-复印机"/>
    <s v="办公运营费"/>
    <s v="办公费-复印机"/>
    <s v="IT租赁费"/>
    <x v="4"/>
  </r>
  <r>
    <s v="6600020104"/>
    <s v="办公运营费-办公费-订阅"/>
    <s v="办公运营费"/>
    <s v="办公费-书报杂志订阅费"/>
    <s v="总办办公费"/>
    <x v="1"/>
  </r>
  <r>
    <s v="6600020105"/>
    <s v="办公运营费-办公费-办公用品"/>
    <s v="办公运营费"/>
    <s v="办公用品-办公文具"/>
    <s v="总办办公费"/>
    <x v="1"/>
  </r>
  <r>
    <s v="6600020105"/>
    <s v="办公运营费-办公费-办公用品"/>
    <s v="办公运营费"/>
    <s v="办公用品-生活用纸"/>
    <s v="总办办公费"/>
    <x v="1"/>
  </r>
  <r>
    <s v="6600020105"/>
    <s v="办公运营费-办公费-办公用品"/>
    <s v="办公运营费"/>
    <s v="办公用品-饮用水"/>
    <s v="总办办公费"/>
    <x v="1"/>
  </r>
  <r>
    <s v="6600020105"/>
    <s v="办公运营费-办公费-办公用品"/>
    <s v="办公运营费"/>
    <s v="办公用品-其他办公用品"/>
    <s v="总办办公费"/>
    <x v="1"/>
  </r>
  <r>
    <s v="6600020106"/>
    <s v="办公运营费-办公费-办公家具"/>
    <s v="办公运营费"/>
    <s v="办公家具-小家具家电"/>
    <s v="总办办公费"/>
    <x v="1"/>
  </r>
  <r>
    <s v="6600020107"/>
    <s v="办公运营费-办公费-其他办公费"/>
    <s v="办公运营费"/>
    <s v="办公费-办公耗材"/>
    <s v="总办办公费"/>
    <x v="1"/>
  </r>
  <r>
    <s v="6600020107"/>
    <s v="办公运营费-办公费-其他办公费"/>
    <s v="办公运营费"/>
    <s v="办公费-茶叶费用"/>
    <s v="总办办公费"/>
    <x v="1"/>
  </r>
  <r>
    <s v="6600020107"/>
    <s v="办公运营费-办公费-其他办公费"/>
    <s v="办公运营费"/>
    <s v="办公费-水果点心费用"/>
    <s v="总办办公费"/>
    <x v="1"/>
  </r>
  <r>
    <s v="6600020107"/>
    <s v="办公运营费-办公费-其他办公费"/>
    <s v="清洁费"/>
    <s v="办公费-自主清洁"/>
    <s v="总办办公费"/>
    <x v="1"/>
  </r>
  <r>
    <s v="6600020107"/>
    <s v="办公运营费-办公费-其他办公费"/>
    <s v="办公运营费"/>
    <s v="办公费-洗衣房费用"/>
    <s v="总办办公费"/>
    <x v="1"/>
  </r>
  <r>
    <s v="6600020107"/>
    <s v="办公运营费-办公费-其他办公费"/>
    <s v="办公运营费"/>
    <s v="办公费-办公工作服"/>
    <s v="总办办公费"/>
    <x v="1"/>
  </r>
  <r>
    <s v="6600020107"/>
    <s v="办公运营费-办公费-其他办公费"/>
    <s v="修理费"/>
    <s v="办公费-修理费-自主维修"/>
    <s v="总办办公费"/>
    <x v="1"/>
  </r>
  <r>
    <s v="6600020107"/>
    <s v="办公运营费-办公费-其他办公费"/>
    <s v="办公运营费"/>
    <s v="办公费-其他费用"/>
    <s v="总办办公费"/>
    <x v="1"/>
  </r>
  <r>
    <s v="6600020108"/>
    <s v="办公运营费-办公费-软件年费"/>
    <s v="办公运营费"/>
    <s v="IT-软件订阅年费"/>
    <s v="IT订阅费"/>
    <x v="4"/>
  </r>
  <r>
    <s v="6600020108"/>
    <s v="办公运营费-办公费-软件年费"/>
    <s v="办公运营费"/>
    <s v="IT-软件订阅年费"/>
    <s v="IT订阅费"/>
    <x v="4"/>
  </r>
  <r>
    <s v="6600020108"/>
    <s v="办公运营费-办公费-软件年费"/>
    <s v="办公运营费"/>
    <s v="IT-软件订阅年费"/>
    <s v="IT订阅费"/>
    <x v="4"/>
  </r>
  <r>
    <s v="6600020108"/>
    <s v="办公运营费-办公费-软件年费"/>
    <s v="办公运营费"/>
    <s v="IT-软件订阅年费"/>
    <s v="IT订阅费"/>
    <x v="4"/>
  </r>
  <r>
    <s v="6600020108"/>
    <s v="办公运营费-办公费-软件年费"/>
    <s v="办公运营费"/>
    <s v="IT-软件订阅年费"/>
    <s v="IT订阅费"/>
    <x v="4"/>
  </r>
  <r>
    <s v="6600020108"/>
    <s v="办公运营费-办公费-软件年费"/>
    <s v="办公运营费"/>
    <s v="IT-软件订阅年费"/>
    <s v="IT订阅费"/>
    <x v="4"/>
  </r>
  <r>
    <s v="6600020108"/>
    <s v="办公运营费-办公费-软件年费"/>
    <s v="办公运营费"/>
    <s v="IT-软件订阅年费"/>
    <s v="IT订阅费"/>
    <x v="4"/>
  </r>
  <r>
    <s v="6600020108"/>
    <s v="办公运营费-办公费-软件年费"/>
    <s v="办公运营费"/>
    <s v="IT-软件订阅年费"/>
    <s v="IT订阅费"/>
    <x v="4"/>
  </r>
  <r>
    <s v="6600020108"/>
    <s v="办公运营费-办公费-软件年费"/>
    <s v="办公运营费"/>
    <s v="IT-软件订阅年费"/>
    <s v="IT订阅费"/>
    <x v="4"/>
  </r>
  <r>
    <s v="6600020113"/>
    <s v="办公运营费-办公费-IT-维护"/>
    <s v="办公运营费"/>
    <s v="IT-软件维护"/>
    <s v="IT软件维护"/>
    <x v="4"/>
  </r>
  <r>
    <s v="6600020113"/>
    <s v="办公运营费-办公费-IT-维护"/>
    <s v="办公运营费"/>
    <s v="IT-软件维护"/>
    <s v="IT软件维护"/>
    <x v="4"/>
  </r>
  <r>
    <s v="6600020113"/>
    <s v="办公运营费-办公费-IT-维护"/>
    <s v="办公运营费"/>
    <s v="IT-软件维护"/>
    <s v="IT软件维护"/>
    <x v="4"/>
  </r>
  <r>
    <s v="6600020113"/>
    <s v="办公运营费-办公费-IT-维护"/>
    <s v="办公运营费"/>
    <s v="IT-软件维护"/>
    <s v="IT软件维护"/>
    <x v="4"/>
  </r>
  <r>
    <s v="6600020113"/>
    <s v="办公运营费-办公费-IT-维护"/>
    <s v="办公运营费"/>
    <s v="IT-软件维护"/>
    <s v="IT软件维护"/>
    <x v="4"/>
  </r>
  <r>
    <s v="6600020113"/>
    <s v="办公运营费-办公费-IT-维护"/>
    <s v="办公运营费"/>
    <s v="IT-软件维护"/>
    <s v="IT软件维护"/>
    <x v="4"/>
  </r>
  <r>
    <s v="6600020113"/>
    <s v="办公运营费-办公费-IT-维护"/>
    <s v="办公运营费"/>
    <s v="IT-软件维护"/>
    <s v="IT软件维护"/>
    <x v="4"/>
  </r>
  <r>
    <s v="6600020113"/>
    <s v="办公运营费-办公费-IT-维护"/>
    <s v="办公运营费"/>
    <s v="IT-软件维护"/>
    <s v="IT软件维护"/>
    <x v="4"/>
  </r>
  <r>
    <s v="6600020113"/>
    <s v="办公运营费-办公费-IT-维护"/>
    <s v="办公运营费"/>
    <s v="IT-软件维护"/>
    <s v="IT软件维护"/>
    <x v="4"/>
  </r>
  <r>
    <s v="6600020113"/>
    <s v="办公运营费-办公费-IT-维护"/>
    <s v="办公运营费"/>
    <s v="IT-软件维护"/>
    <s v="IT软件维护"/>
    <x v="4"/>
  </r>
  <r>
    <s v="6600020113"/>
    <s v="办公运营费-办公费-IT-维护"/>
    <s v="办公运营费"/>
    <s v="IT-软件维护"/>
    <s v="IT软件维护"/>
    <x v="4"/>
  </r>
  <r>
    <s v="6600020113"/>
    <s v="办公运营费-办公费-IT-维护"/>
    <s v="办公运营费"/>
    <s v="IT-软件维护"/>
    <s v="IT软件维护"/>
    <x v="4"/>
  </r>
  <r>
    <s v="6600020113"/>
    <s v="办公运营费-办公费-IT-维护"/>
    <s v="办公运营费"/>
    <s v="IT-软件维护"/>
    <s v="IT软件维护"/>
    <x v="4"/>
  </r>
  <r>
    <s v="6600020113"/>
    <s v="办公运营费-办公费-IT-维护"/>
    <s v="办公运营费"/>
    <s v="IT-软件维护"/>
    <s v="IT软件维护"/>
    <x v="4"/>
  </r>
  <r>
    <s v="6600020113"/>
    <s v="办公运营费-办公费-IT-维护"/>
    <s v="办公运营费"/>
    <s v="IT-软件维护"/>
    <s v="IT软件维护"/>
    <x v="4"/>
  </r>
  <r>
    <s v="6600020113"/>
    <s v="办公运营费-办公费-IT-维护"/>
    <s v="办公运营费"/>
    <s v="IT-软件维护"/>
    <s v="IT软件维护"/>
    <x v="4"/>
  </r>
  <r>
    <s v="6600020113"/>
    <s v="办公运营费-办公费-IT-维护"/>
    <s v="办公运营费"/>
    <s v="IT-软件维护"/>
    <s v="IT软件维护"/>
    <x v="4"/>
  </r>
  <r>
    <s v="6600020113"/>
    <s v="办公运营费-办公费-IT-维护"/>
    <s v="办公运营费"/>
    <s v="IT-软件维护"/>
    <s v="IT软件维护"/>
    <x v="4"/>
  </r>
  <r>
    <s v="6600020113"/>
    <s v="办公运营费-办公费-IT-维护"/>
    <s v="办公运营费"/>
    <s v="IT-软件维护"/>
    <s v="IT软件维护"/>
    <x v="4"/>
  </r>
  <r>
    <s v="6600020113"/>
    <s v="办公运营费-办公费-IT-维护"/>
    <s v="办公运营费"/>
    <s v="IT-软件维护"/>
    <s v="IT软件维护"/>
    <x v="4"/>
  </r>
  <r>
    <s v="6600020113"/>
    <s v="办公运营费-办公费-IT-维护"/>
    <s v="办公运营费"/>
    <s v="IT-硬件维护"/>
    <s v="IT硬件维护"/>
    <x v="4"/>
  </r>
  <r>
    <s v="6600020113"/>
    <s v="办公运营费-办公费-IT-维护"/>
    <s v="办公运营费"/>
    <s v="IT-人力委外"/>
    <s v="IT人力委外"/>
    <x v="4"/>
  </r>
  <r>
    <s v="6600020113"/>
    <s v="办公运营费-办公费-IT-维护"/>
    <s v="办公运营费"/>
    <s v="IT-人力委外"/>
    <s v="IT人力委外"/>
    <x v="4"/>
  </r>
  <r>
    <s v="6600020113"/>
    <s v="办公运营费-办公费-IT-维护"/>
    <s v="办公运营费"/>
    <s v="IT-人力委外"/>
    <s v="IT人力委外"/>
    <x v="4"/>
  </r>
  <r>
    <s v="6600020113"/>
    <s v="办公运营费-办公费-IT-维护"/>
    <s v="办公运营费"/>
    <s v="IT-人力委外"/>
    <s v="IT人力委外"/>
    <x v="4"/>
  </r>
  <r>
    <s v="6600020113"/>
    <s v="办公运营费-办公费-IT-维护"/>
    <s v="办公运营费"/>
    <s v="IT-人力委外"/>
    <s v="IT人力委外"/>
    <x v="4"/>
  </r>
  <r>
    <s v="6600020113"/>
    <s v="办公运营费-办公费-IT-维护"/>
    <s v="办公运营费"/>
    <s v="IT-人力委外"/>
    <s v="IT人力委外"/>
    <x v="4"/>
  </r>
  <r>
    <s v="6600020113"/>
    <s v="办公运营费-办公费-IT-维护"/>
    <s v="办公运营费"/>
    <s v="IT-人力委外"/>
    <s v="IT人力委外"/>
    <x v="4"/>
  </r>
  <r>
    <s v="6600020113"/>
    <s v="办公运营费-办公费-IT-维护"/>
    <s v="办公运营费"/>
    <s v="IT-人力委外"/>
    <s v="IT人力委外"/>
    <x v="4"/>
  </r>
  <r>
    <s v="6600020113"/>
    <s v="办公运营费-办公费-IT-维护"/>
    <s v="办公运营费"/>
    <s v="IT-人力委外"/>
    <s v="IT人力委外"/>
    <x v="4"/>
  </r>
  <r>
    <s v="6600020113"/>
    <s v="办公运营费-办公费-IT-维护"/>
    <s v="办公运营费"/>
    <s v="IT-人力委外"/>
    <s v="IT人力委外"/>
    <x v="4"/>
  </r>
  <r>
    <s v="6600020113"/>
    <s v="办公运营费-办公费-IT-维护"/>
    <s v="办公运营费"/>
    <s v="IT-人力委外"/>
    <s v="IT人力委外"/>
    <x v="4"/>
  </r>
  <r>
    <s v="6600020113"/>
    <s v="办公运营费-办公费-IT-维护"/>
    <s v="办公运营费"/>
    <s v="IT-人力委外"/>
    <s v="IT人力委外"/>
    <x v="4"/>
  </r>
  <r>
    <s v="6600020113"/>
    <s v="办公运营费-办公费-IT-维护"/>
    <s v="办公运营费"/>
    <s v="IT-人力委外"/>
    <s v="IT人力委外"/>
    <x v="4"/>
  </r>
  <r>
    <s v="6600020114"/>
    <s v="办公运营费-办公费-IT-配件"/>
    <s v="办公运营费"/>
    <s v="IT-配件"/>
    <s v="IT办公费"/>
    <x v="4"/>
  </r>
  <r>
    <s v="6600020200"/>
    <s v="办公运营费-市内交通费"/>
    <s v="办公运营费"/>
    <s v="市内交通费"/>
    <s v="市内交通费"/>
    <x v="1"/>
  </r>
  <r>
    <s v="6600020301"/>
    <s v="办公运营费-差旅费-机票费"/>
    <s v="差旅费"/>
    <s v="差旅费-机票费"/>
    <s v="差旅费"/>
    <x v="1"/>
  </r>
  <r>
    <s v="6600020302"/>
    <s v="办公运营费-差旅费-住宿费"/>
    <s v="差旅费"/>
    <s v="差旅费-住宿费"/>
    <s v="差旅费"/>
    <x v="1"/>
  </r>
  <r>
    <s v="6600020303"/>
    <s v="办公运营费-差旅费-交通费"/>
    <s v="差旅费"/>
    <s v="差旅费-火车费用"/>
    <s v="差旅费"/>
    <x v="1"/>
  </r>
  <r>
    <s v="6600020303"/>
    <s v="办公运营费-差旅费-交通费"/>
    <s v="差旅费"/>
    <s v="差旅费-长途汽车费用"/>
    <s v="差旅费"/>
    <x v="1"/>
  </r>
  <r>
    <s v="6600020303"/>
    <s v="办公运营费-差旅费-交通费"/>
    <s v="差旅费"/>
    <s v="差旅费-市内交通费"/>
    <s v="差旅费"/>
    <x v="1"/>
  </r>
  <r>
    <s v="6600020301"/>
    <s v="办公运营费-差旅费-机票费"/>
    <s v="差旅费"/>
    <s v="差旅费-商旅机票费"/>
    <s v="差旅费"/>
    <x v="1"/>
  </r>
  <r>
    <s v="6600020302"/>
    <s v="办公运营费-差旅费-住宿费"/>
    <s v="差旅费"/>
    <s v="差旅费-商旅住宿费"/>
    <s v="差旅费"/>
    <x v="1"/>
  </r>
  <r>
    <s v="6600020303"/>
    <s v="办公运营费-差旅费-交通费"/>
    <s v="差旅费"/>
    <s v="差旅费-商旅火车费用"/>
    <s v="差旅费"/>
    <x v="1"/>
  </r>
  <r>
    <s v="6600020303"/>
    <s v="办公运营费-差旅费-交通费"/>
    <s v="差旅费"/>
    <s v="差旅费-商旅长途汽车费用"/>
    <s v="差旅费"/>
    <x v="1"/>
  </r>
  <r>
    <s v="6600020303"/>
    <s v="办公运营费-差旅费-交通费"/>
    <s v="差旅费"/>
    <s v="差旅费-商旅市内交通费"/>
    <s v="差旅费"/>
    <x v="1"/>
  </r>
  <r>
    <s v="6600020304"/>
    <s v="办公运营费-差旅费-其他差旅费"/>
    <s v="差旅费"/>
    <s v="差旅费-差旅补贴"/>
    <s v="差旅费"/>
    <x v="1"/>
  </r>
  <r>
    <s v="6600020304"/>
    <s v="办公运营费-差旅费-其他差旅费"/>
    <s v="差旅费"/>
    <s v="差旅费-误餐补贴"/>
    <s v="差旅费"/>
    <x v="1"/>
  </r>
  <r>
    <s v="6600020304"/>
    <s v="办公运营费-差旅费-其他差旅费"/>
    <s v="差旅费"/>
    <s v="差旅费-其他差旅费"/>
    <s v="差旅费"/>
    <x v="1"/>
  </r>
  <r>
    <s v="6600020401"/>
    <s v="办公运营费-汽车费用-租车"/>
    <s v="办公运营费"/>
    <s v="汽车费用-租车费"/>
    <s v="汽车费用"/>
    <x v="1"/>
  </r>
  <r>
    <s v="6600020402"/>
    <s v="办公运营费-汽车费用-燃料"/>
    <s v="办公运营费"/>
    <s v="汽车费用-燃料费"/>
    <s v="汽车费用"/>
    <x v="1"/>
  </r>
  <r>
    <s v="6600020403"/>
    <s v="办公运营费-汽车费用-维保"/>
    <s v="办公运营费"/>
    <s v="汽车费用-维保费"/>
    <s v="汽车费用"/>
    <x v="1"/>
  </r>
  <r>
    <s v="6600020404"/>
    <s v="办公运营费-汽车费用-路税&amp;保险"/>
    <s v="办公运营费"/>
    <s v="汽车费用-路税&amp;保险"/>
    <s v="汽车费用"/>
    <x v="1"/>
  </r>
  <r>
    <s v="6600020405"/>
    <s v="办公运营费-汽车费用-里程津贴"/>
    <s v="办公运营费"/>
    <s v="汽车费用-里程津贴"/>
    <s v="汽车费用"/>
    <x v="1"/>
  </r>
  <r>
    <s v="6600020406"/>
    <s v="办公运营费-汽车费用-过路过桥费"/>
    <s v="办公运营费"/>
    <s v="汽车费用-过路过桥费"/>
    <s v="汽车费用"/>
    <x v="1"/>
  </r>
  <r>
    <s v="6600020407"/>
    <s v="办公运营费-汽车费用-停车费"/>
    <s v="办公运营费"/>
    <s v="汽车费用-停车费"/>
    <s v="汽车费用"/>
    <x v="1"/>
  </r>
  <r>
    <s v="6600020408"/>
    <s v="办公运营费-汽车费用-年检费"/>
    <s v="办公运营费"/>
    <s v="汽车费用-年检费"/>
    <s v="汽车费用"/>
    <x v="1"/>
  </r>
  <r>
    <s v="6600020409"/>
    <s v="办公运营费-汽车费用-其他车辆费"/>
    <s v="办公运营费"/>
    <s v="汽车费用-其他车辆费"/>
    <s v="汽车费用"/>
    <x v="1"/>
  </r>
  <r>
    <s v="6600020500"/>
    <s v="办公运营费-固定电话费"/>
    <s v="办公运营费"/>
    <s v="固定电话费"/>
    <s v="固定电话费"/>
    <x v="4"/>
  </r>
  <r>
    <s v="6600020600"/>
    <s v="办公运营费-移动电话费"/>
    <s v="办公运营费"/>
    <s v="移动电话费"/>
    <s v="移动电话费"/>
    <x v="1"/>
  </r>
  <r>
    <s v="6600020700"/>
    <s v="办公运营费-业务招待费"/>
    <s v="办公运营费"/>
    <s v="业务招待-茶叶费用"/>
    <s v="业务招待费"/>
    <x v="1"/>
  </r>
  <r>
    <s v="6600020700"/>
    <s v="办公运营费-业务招待费"/>
    <s v="办公运营费"/>
    <s v="业务招待-酒水费用"/>
    <s v="业务招待费"/>
    <x v="1"/>
  </r>
  <r>
    <s v="6600020700"/>
    <s v="办公运营费-业务招待费"/>
    <s v="办公运营费"/>
    <s v="业务招待-餐饮费"/>
    <s v="业务招待费"/>
    <x v="1"/>
  </r>
  <r>
    <s v="6600020700"/>
    <s v="办公运营费-业务招待费"/>
    <s v="办公运营费"/>
    <s v="业务招待-商务礼品费"/>
    <s v="业务招待费"/>
    <x v="1"/>
  </r>
  <r>
    <s v="6600020700"/>
    <s v="办公运营费-业务招待费"/>
    <s v="办公运营费"/>
    <s v="业务招待-总经理费用"/>
    <s v="业务招待费"/>
    <x v="1"/>
  </r>
  <r>
    <s v="6600020700"/>
    <s v="办公运营费-业务招待费"/>
    <s v="办公运营费"/>
    <s v="业务招待-景区门票费用"/>
    <s v="业务招待费"/>
    <x v="1"/>
  </r>
  <r>
    <s v="6600020700"/>
    <s v="办公运营费-业务招待费"/>
    <s v="办公运营费"/>
    <s v="业务招待-非本公司员工产生的招待费用"/>
    <s v="业务招待费"/>
    <x v="1"/>
  </r>
  <r>
    <s v="6600020700"/>
    <s v="办公运营费-业务招待费"/>
    <s v="办公运营费"/>
    <s v="业务招待-代驾费用"/>
    <s v="业务招待费"/>
    <x v="1"/>
  </r>
  <r>
    <s v="6600020700"/>
    <s v="办公运营费-业务招待费"/>
    <s v="办公运营费"/>
    <s v="业务招待-水果点心费用"/>
    <s v="业务招待费"/>
    <x v="1"/>
  </r>
  <r>
    <s v="6600020700"/>
    <s v="办公运营费-业务招待费"/>
    <s v="办公运营费"/>
    <s v="业务招待-机场VIP通道费用"/>
    <s v="业务招待费"/>
    <x v="1"/>
  </r>
  <r>
    <s v="6600020700"/>
    <s v="办公运营费-业务招待费"/>
    <s v="招聘成本"/>
    <s v="业务招待-招聘招待费"/>
    <s v="招聘费用"/>
    <x v="0"/>
  </r>
  <r>
    <s v="6600020800"/>
    <s v="办公运营费-网络费用"/>
    <s v="办公运营费"/>
    <s v="网络费用"/>
    <s v="网络费用"/>
    <x v="4"/>
  </r>
  <r>
    <s v="6600020800"/>
    <s v="办公运营费-网络费用"/>
    <s v="办公运营费"/>
    <s v="网络费用"/>
    <s v="网络费用"/>
    <x v="4"/>
  </r>
  <r>
    <s v="6600020800"/>
    <s v="办公运营费-网络费用"/>
    <s v="办公运营费"/>
    <s v="网络费用"/>
    <s v="网络费用"/>
    <x v="4"/>
  </r>
  <r>
    <s v="6600020800"/>
    <s v="办公运营费-网络费用"/>
    <s v="办公运营费"/>
    <s v="网络费用"/>
    <s v="网络费用"/>
    <x v="4"/>
  </r>
  <r>
    <s v="6600021000"/>
    <s v="办公运营费-邮寄费"/>
    <s v="办公运营费"/>
    <s v="邮寄费"/>
    <s v="邮寄费"/>
    <x v="5"/>
  </r>
  <r>
    <s v="6600021200"/>
    <s v="办公运营费-环保及绿化费"/>
    <s v="办公运营费"/>
    <s v="环保费-排污费"/>
    <s v="环保费"/>
    <x v="1"/>
  </r>
  <r>
    <s v="6600021200"/>
    <s v="办公运营费-环保及绿化费"/>
    <s v="办公运营费"/>
    <s v="环保费-环保施工费"/>
    <s v="环保费"/>
    <x v="1"/>
  </r>
  <r>
    <s v="6600021200"/>
    <s v="办公运营费-环保及绿化费"/>
    <s v="办公运营费"/>
    <s v="环保费-环保评估、验收费"/>
    <s v="环保费"/>
    <x v="1"/>
  </r>
  <r>
    <s v="6600021200"/>
    <s v="办公运营费-环保及绿化费"/>
    <s v="办公运营费"/>
    <s v="环保费-环保设施"/>
    <s v="环保费"/>
    <x v="1"/>
  </r>
  <r>
    <s v="6600021200"/>
    <s v="办公运营费-环保及绿化费"/>
    <s v="办公运营费"/>
    <s v="环保费-环保应急物资"/>
    <s v="环保费"/>
    <x v="1"/>
  </r>
  <r>
    <s v="6600021200"/>
    <s v="办公运营费-环保及绿化费"/>
    <s v="办公运营费"/>
    <s v="环保费-环境检测费用"/>
    <s v="环保费"/>
    <x v="1"/>
  </r>
  <r>
    <s v="6600021200"/>
    <s v="办公运营费-环保及绿化费"/>
    <s v="办公运营费"/>
    <s v="环保费-清理费"/>
    <s v="环保费"/>
    <x v="1"/>
  </r>
  <r>
    <s v="6600021200"/>
    <s v="办公运营费-环保及绿化费"/>
    <s v="办公运营费"/>
    <s v="环保费-固体废物处置"/>
    <s v="环保费"/>
    <x v="1"/>
  </r>
  <r>
    <s v="6600021200"/>
    <s v="办公运营费-环保及绿化费"/>
    <s v="办公运营费"/>
    <s v="环保费-危险废物处置"/>
    <s v="环保费"/>
    <x v="1"/>
  </r>
  <r>
    <s v="6600021200"/>
    <s v="办公运营费-环保及绿化费"/>
    <s v="办公运营费"/>
    <s v="环保费-其他环保费用"/>
    <s v="环保费"/>
    <x v="1"/>
  </r>
  <r>
    <s v="6600021200"/>
    <s v="办公运营费-环保及绿化费"/>
    <s v="办公运营费"/>
    <s v="绿化费-厂区绿化费"/>
    <s v="绿化费"/>
    <x v="1"/>
  </r>
  <r>
    <s v="6600021200"/>
    <s v="办公运营费-环保及绿化费"/>
    <s v="办公运营费"/>
    <s v="绿化费-其他绿化费"/>
    <s v="绿化费"/>
    <x v="1"/>
  </r>
  <r>
    <s v="6600030101"/>
    <s v="外部服务-租赁费-机器租赁费"/>
    <s v="外部服务"/>
    <s v="租赁费-机器租赁费"/>
    <s v="租赁费"/>
    <x v="5"/>
  </r>
  <r>
    <s v="6600030102"/>
    <s v="外部服务-租赁费-围板箱租赁费"/>
    <s v="外部服务"/>
    <s v="租赁费-围板箱租赁费"/>
    <s v="租赁费"/>
    <x v="5"/>
  </r>
  <r>
    <s v="6600030203"/>
    <s v="外部服务-房租及物业-房屋修理"/>
    <s v="修理费"/>
    <s v="租赁宿舍\厂房费用-修理费"/>
    <s v="总办其他服务费"/>
    <x v="1"/>
  </r>
  <r>
    <s v="6600030204"/>
    <s v="外部服务-房租及物业-厂房租赁费"/>
    <s v="外部服务"/>
    <s v="租赁宿舍\厂房费用-厂房租赁租金费用"/>
    <s v="总办其他服务费"/>
    <x v="1"/>
  </r>
  <r>
    <s v="6600030204"/>
    <s v="外部服务-房租及物业-厂房租赁费"/>
    <s v="外部服务"/>
    <s v="租赁宿舍\厂房费用-厂房租赁中介费用"/>
    <s v="总办其他服务费"/>
    <x v="1"/>
  </r>
  <r>
    <s v="6600030205"/>
    <s v="外部服务-房租及物业-物业水电燃气费"/>
    <s v="外部服务"/>
    <s v="租赁宿舍\厂房费用-物业费"/>
    <s v="总办其他服务费"/>
    <x v="1"/>
  </r>
  <r>
    <s v="6600030205"/>
    <s v="外部服务-房租及物业-物业水电燃气费"/>
    <s v="外部服务"/>
    <s v="租赁宿舍\厂房费用-能源费用"/>
    <s v="总办其他服务费"/>
    <x v="1"/>
  </r>
  <r>
    <s v="6600030205"/>
    <s v="外部服务-房租及物业-物业水电燃气费"/>
    <s v="外部服务"/>
    <s v="租赁宿舍\厂房费用-能源费用"/>
    <s v="总办其他服务费"/>
    <x v="1"/>
  </r>
  <r>
    <s v="6600030205"/>
    <s v="外部服务-房租及物业-物业水电燃气费"/>
    <s v="外部服务"/>
    <s v="租赁宿舍\厂房费用-能源费用"/>
    <s v="总办其他服务费"/>
    <x v="1"/>
  </r>
  <r>
    <s v="6600030206"/>
    <s v="外部服务-房租及物业-宿舍租赁费"/>
    <s v="外部服务"/>
    <s v="租赁宿舍\厂房费用-宿舍租赁租金费用"/>
    <s v="总办其他服务费"/>
    <x v="1"/>
  </r>
  <r>
    <s v="6600030206"/>
    <s v="外部服务-房租及物业-宿舍租赁费"/>
    <s v="外部服务"/>
    <s v="租赁宿舍\厂房费用-宿舍租赁中介费用"/>
    <s v="总办其他服务费"/>
    <x v="1"/>
  </r>
  <r>
    <s v="6600030300"/>
    <s v="外部服务-运输费用"/>
    <s v="外部服务"/>
    <s v="运输费用"/>
    <s v="运输费用"/>
    <x v="5"/>
  </r>
  <r>
    <s v="6600030400"/>
    <s v="外部服务-咨询审计费"/>
    <s v="外部服务"/>
    <s v="咨询审计费-审计费用"/>
    <s v="财务咨询审计费"/>
    <x v="3"/>
  </r>
  <r>
    <s v="6600030400"/>
    <s v="外部服务-咨询审计费"/>
    <s v="外部服务"/>
    <s v="咨询审计费-尽调费用"/>
    <s v="总办其他服务费"/>
    <x v="1"/>
  </r>
  <r>
    <s v="6600030400"/>
    <s v="外部服务-咨询审计费"/>
    <s v="外部服务"/>
    <s v="咨询审计费-项目管理咨询费用"/>
    <s v="总办其他服务费"/>
    <x v="1"/>
  </r>
  <r>
    <s v="6600030400"/>
    <s v="外部服务-咨询审计费"/>
    <s v="外部服务"/>
    <s v="咨询审计费-法律顾问费用"/>
    <s v="风控咨询审计费"/>
    <x v="6"/>
  </r>
  <r>
    <s v="6600030400"/>
    <s v="外部服务-咨询审计费"/>
    <s v="外部服务"/>
    <s v="咨询审计费-政府项目专项审计"/>
    <s v="技术中心专项审计费"/>
    <x v="7"/>
  </r>
  <r>
    <s v="6600030400"/>
    <s v="外部服务-咨询审计费"/>
    <s v="外部服务"/>
    <s v="咨询审计费-第三方专利报告"/>
    <s v="专利费"/>
    <x v="7"/>
  </r>
  <r>
    <s v="6600030400"/>
    <s v="外部服务-咨询审计费"/>
    <s v="外部服务"/>
    <s v="咨询审计费-体系顾问费用"/>
    <s v="品管体系认证费"/>
    <x v="2"/>
  </r>
  <r>
    <s v="6600030400"/>
    <s v="外部服务-咨询审计费"/>
    <s v="外部服务"/>
    <s v="咨询审计费-其他咨询审计费"/>
    <s v="风控咨询审计费"/>
    <x v="6"/>
  </r>
  <r>
    <s v="6600030500"/>
    <s v="外部服务-认证年检登记费"/>
    <s v="外部服务"/>
    <s v="认证年检登记-执照认证年检费"/>
    <s v="总办其他服务费"/>
    <x v="1"/>
  </r>
  <r>
    <s v="6600030500"/>
    <s v="外部服务-认证年检登记费"/>
    <s v="外部服务"/>
    <s v="认证年检登记-公众号认证费（新媒体平台年费）"/>
    <s v="总办其他服务费"/>
    <x v="1"/>
  </r>
  <r>
    <s v="6600030500"/>
    <s v="外部服务-认证年检登记费"/>
    <s v="外部服务"/>
    <s v="认证年检登记-抵押登记费"/>
    <s v="销售其他服务费"/>
    <x v="8"/>
  </r>
  <r>
    <s v="6600030500"/>
    <s v="外部服务-认证年检登记费"/>
    <s v="外部服务"/>
    <s v="认证年检登记-体系认证费用"/>
    <s v="品管体系认证费"/>
    <x v="2"/>
  </r>
  <r>
    <s v="6600030600"/>
    <s v="外部服务-诉讼费"/>
    <s v="外部服务"/>
    <s v="专利诉讼费"/>
    <s v="专利诉讼费"/>
    <x v="7"/>
  </r>
  <r>
    <s v="6600030600"/>
    <s v="外部服务-诉讼费"/>
    <s v="外部服务"/>
    <s v="其他诉讼费"/>
    <s v="其他诉讼费"/>
    <x v="6"/>
  </r>
  <r>
    <s v="6600030701"/>
    <s v="外部服务-会务宣传费-广告宣传费"/>
    <s v="外部服务"/>
    <s v="会务宣传费-企业文化宣传费（品牌建设宣传费）"/>
    <s v="总办其他服务费"/>
    <x v="1"/>
  </r>
  <r>
    <s v="6600030702"/>
    <s v="外部服务-会务宣传费-市场费用"/>
    <s v="外部服务"/>
    <s v="会务宣传费-市场费用"/>
    <s v="销售会务宣传费"/>
    <x v="8"/>
  </r>
  <r>
    <s v="6600030703"/>
    <s v="外部服务-会务宣传费-会议费"/>
    <s v="外部服务"/>
    <s v="会务宣传费-会议费"/>
    <s v="总办其他服务费"/>
    <x v="1"/>
  </r>
  <r>
    <s v="6600030743"/>
    <s v="外部服务-会务宣传费-年费"/>
    <s v="外部服务"/>
    <s v="会务宣传费-行业协会年费"/>
    <s v="技术中心会务宣传费"/>
    <x v="7"/>
  </r>
  <r>
    <s v="6600030743"/>
    <s v="外部服务-会务宣传费-年费"/>
    <s v="外部服务"/>
    <s v="会务宣传费-品牌建设会员年费（活动费）"/>
    <s v="总办其他服务费"/>
    <x v="1"/>
  </r>
  <r>
    <s v="6600030743"/>
    <s v="外部服务-会务宣传费-年费"/>
    <s v="外部服务"/>
    <s v="会务宣传费-品牌建设其他费用"/>
    <s v="总办其他服务费"/>
    <x v="1"/>
  </r>
  <r>
    <s v="6600030743"/>
    <s v="外部服务-会务宣传费-年费"/>
    <s v="外部服务"/>
    <s v="品牌建设费-物料制作费"/>
    <s v="总办其他服务费"/>
    <x v="1"/>
  </r>
  <r>
    <s v="6600030743"/>
    <s v="外部服务-会务宣传费-年费"/>
    <s v="外部服务"/>
    <s v="品牌建设费-宣传片制作费"/>
    <s v="总办其他服务费"/>
    <x v="1"/>
  </r>
  <r>
    <s v="6600030743"/>
    <s v="外部服务-会务宣传费-年费"/>
    <s v="外部服务"/>
    <s v="品牌建设费-内刊运营费"/>
    <s v="总办其他服务费"/>
    <x v="1"/>
  </r>
  <r>
    <s v="6600030743"/>
    <s v="外部服务-会务宣传费-年费"/>
    <s v="外部服务"/>
    <s v="品牌建设费-素材库年费"/>
    <s v="总办其他服务费"/>
    <x v="1"/>
  </r>
  <r>
    <s v="6600030800"/>
    <s v="外部服务-技术开发费"/>
    <s v="外部服务"/>
    <s v="委外技术开发费（研发费用）"/>
    <s v="技术开发费"/>
    <x v="7"/>
  </r>
  <r>
    <s v="6600030900"/>
    <s v="外部服务-技术服务费"/>
    <s v="外部服务"/>
    <s v="技术服务费"/>
    <s v="技术服务费"/>
    <x v="7"/>
  </r>
  <r>
    <s v="6600031100"/>
    <s v="外部服务-测试检验费"/>
    <s v="外部服务"/>
    <s v="仪器检测费用"/>
    <s v="品管测试检验费"/>
    <x v="2"/>
  </r>
  <r>
    <s v="6600031100"/>
    <s v="外部服务-测试检验费"/>
    <s v="外部服务"/>
    <s v="产品检测费用-委托内部关联方"/>
    <s v="品管测试检验费"/>
    <x v="2"/>
  </r>
  <r>
    <s v="6600031100"/>
    <s v="外部服务-测试检验费"/>
    <s v="外部服务"/>
    <s v="产品检测费用-委托外部第三方"/>
    <s v="品管测试检验费"/>
    <x v="2"/>
  </r>
  <r>
    <s v="6600031100"/>
    <s v="外部服务-测试检验费"/>
    <s v="外部服务"/>
    <s v="物料检测费用"/>
    <s v="生产测试检验费"/>
    <x v="9"/>
  </r>
  <r>
    <s v="6600031100"/>
    <s v="外部服务-测试检验费"/>
    <s v="外部服务"/>
    <s v="有害物质检测费用"/>
    <s v="品管测试检验费"/>
    <x v="2"/>
  </r>
  <r>
    <s v="6600031100"/>
    <s v="外部服务-测试检验费"/>
    <s v="外部服务"/>
    <s v="水质检测费-自来水水质检测费"/>
    <s v="总办其他服务费"/>
    <x v="1"/>
  </r>
  <r>
    <s v="6600031100"/>
    <s v="外部服务-测试检验费"/>
    <s v="外部服务"/>
    <s v="动辅检测费"/>
    <s v="运营测试检验费"/>
    <x v="5"/>
  </r>
  <r>
    <s v="6600031100"/>
    <s v="外部服务-测试检验费"/>
    <s v="外部服务"/>
    <s v="黄金检测费"/>
    <s v="运营测试检验费"/>
    <x v="5"/>
  </r>
  <r>
    <s v="6600031100"/>
    <s v="外部服务-测试检验费"/>
    <s v="外部服务"/>
    <s v="压力管道检验费用"/>
    <s v="安全生产费"/>
    <x v="1"/>
  </r>
  <r>
    <s v="6600031200"/>
    <s v="外部服务-测试维护费"/>
    <s v="外部服务"/>
    <s v="电梯测试维护费"/>
    <s v="安全生产费"/>
    <x v="1"/>
  </r>
  <r>
    <s v="6600031300"/>
    <s v="外部服务-进口费用"/>
    <s v="外部服务"/>
    <s v="进口费用"/>
    <s v="进口费用"/>
    <x v="10"/>
  </r>
  <r>
    <s v="6600031400"/>
    <s v="外部服务-出口费用"/>
    <s v="外部服务"/>
    <s v="出口费用"/>
    <s v="出口费用"/>
    <x v="11"/>
  </r>
  <r>
    <s v="6600031500"/>
    <s v="外部服务-修理费"/>
    <s v="修理费"/>
    <s v="修理费-委外维修（总办）"/>
    <s v="总办其他服务费"/>
    <x v="1"/>
  </r>
  <r>
    <s v="6600031500"/>
    <s v="外部服务-修理费"/>
    <s v="修理费"/>
    <s v="修理费-终端设备维修"/>
    <s v="IT维修费"/>
    <x v="4"/>
  </r>
  <r>
    <s v="6600031500"/>
    <s v="外部服务-修理费"/>
    <s v="修理费"/>
    <s v="修理费-弱电维护"/>
    <s v="IT维修费"/>
    <x v="4"/>
  </r>
  <r>
    <s v="6600031500"/>
    <s v="外部服务-修理费"/>
    <s v="修理费"/>
    <s v="修理费-动辅维修服务"/>
    <s v="运营动辅维修费"/>
    <x v="5"/>
  </r>
  <r>
    <s v="6600031500"/>
    <s v="外部服务-修理费"/>
    <s v="修理费"/>
    <s v="修理费-委外服务"/>
    <s v="运营委外维修费"/>
    <x v="5"/>
  </r>
  <r>
    <s v="6600031500"/>
    <s v="外部服务-修理费"/>
    <s v="修理费"/>
    <s v="修理费-设备备件维修服务"/>
    <s v="运营设备维修费"/>
    <x v="5"/>
  </r>
  <r>
    <s v="6600031500"/>
    <s v="外部服务-修理费"/>
    <s v="修理费"/>
    <s v="修理费-零星工程（基建）"/>
    <s v="基建维修费"/>
    <x v="12"/>
  </r>
  <r>
    <s v="6600031501"/>
    <s v="外部服务-工装治具维护修理"/>
    <s v="外部服务"/>
    <s v="工装治具维护修理"/>
    <s v="工装治具维护修理"/>
    <x v="13"/>
  </r>
  <r>
    <s v="6600031600"/>
    <s v="外部服务-加工费"/>
    <s v="外部服务"/>
    <s v="内部加工费（工序委外）"/>
    <s v="内部加工费"/>
    <x v="14"/>
  </r>
  <r>
    <s v="6600031600"/>
    <s v="外部服务-加工费"/>
    <s v="外部服务"/>
    <s v="外部加工费（工序委外）"/>
    <s v="外部加工费"/>
    <x v="14"/>
  </r>
  <r>
    <s v="6600031800"/>
    <s v="外部服务-设计费"/>
    <s v="外部服务"/>
    <s v="设计费"/>
    <s v="设计费"/>
    <x v="7"/>
  </r>
  <r>
    <s v="6600032000"/>
    <s v="外部服务-委托外部研究开发费用"/>
    <s v="外部服务"/>
    <s v="委托外部研究开发费用"/>
    <s v="委托外部研究开发费用"/>
    <x v="7"/>
  </r>
  <r>
    <s v="6600032100"/>
    <s v="外部服务-仓储费"/>
    <s v="外部服务"/>
    <s v="产品仓储费"/>
    <s v="仓储费"/>
    <x v="5"/>
  </r>
  <r>
    <s v="6600033001"/>
    <s v="外部服务-清洁费"/>
    <s v="清洁费"/>
    <s v="清洁费-委外清洁"/>
    <s v="总办其他服务费"/>
    <x v="1"/>
  </r>
  <r>
    <s v="6600034100"/>
    <s v="外部服务-水处理费"/>
    <s v="外部服务"/>
    <s v="厂区水处理费（循环水处理）"/>
    <s v="运营委外维修费"/>
    <x v="5"/>
  </r>
  <r>
    <s v="6600035100"/>
    <s v="外部服务-代理服务"/>
    <s v="外部服务"/>
    <s v="代理服务费"/>
    <s v="代理服务"/>
    <x v="6"/>
  </r>
  <r>
    <s v="6600036100"/>
    <s v="外部服务-销售佣金"/>
    <s v="外部服务"/>
    <s v="销售佣金"/>
    <s v="销售佣金"/>
    <x v="8"/>
  </r>
  <r>
    <s v="6600040200"/>
    <s v="税费-保险费"/>
    <s v="保险费"/>
    <s v="保险费"/>
    <s v="总办其他服务费"/>
    <x v="1"/>
  </r>
  <r>
    <s v="6600040300"/>
    <s v="税费-货运保险费"/>
    <s v="保险费"/>
    <s v="货运保险费"/>
    <s v="运营保险费"/>
    <x v="5"/>
  </r>
  <r>
    <s v="6600060100"/>
    <s v="材料消耗-物料消耗"/>
    <s v="物料消耗"/>
    <s v="物料消耗"/>
    <s v="运营物料消耗"/>
    <x v="5"/>
  </r>
  <r>
    <s v="6600060101"/>
    <s v="材料消耗-物料消耗-包材"/>
    <s v="物料消耗"/>
    <s v="物料消耗-包材"/>
    <s v="运营物料消耗"/>
    <x v="5"/>
  </r>
  <r>
    <s v="6600060102"/>
    <s v="材料消耗-物料消耗-工检夹治具"/>
    <s v="物料消耗"/>
    <s v="物料消耗-工检夹治具"/>
    <s v="运营物料消耗"/>
    <x v="5"/>
  </r>
  <r>
    <s v="6600060121"/>
    <s v="材料消耗-物料消耗-维修物料"/>
    <s v="物料消耗"/>
    <s v="物料消耗-维修物料"/>
    <s v="运营物料消耗"/>
    <x v="5"/>
  </r>
  <r>
    <s v="6600060122"/>
    <s v="材料消耗-物料消耗-订制品"/>
    <s v="物料消耗"/>
    <s v="物料消耗-订制品"/>
    <s v="运营物料消耗"/>
    <x v="5"/>
  </r>
  <r>
    <s v="6600060300"/>
    <s v="材料消耗-物料消耗-备品备件"/>
    <s v="物料消耗"/>
    <s v="物料消耗-备品备件"/>
    <s v="运营物料消耗"/>
    <x v="5"/>
  </r>
  <r>
    <s v="6600060400"/>
    <s v="材料消耗-物料消耗-劳保用品"/>
    <s v="物料消耗"/>
    <s v="物料消耗-劳保用品"/>
    <s v="运营物料消耗"/>
    <x v="5"/>
  </r>
  <r>
    <s v="6600060500"/>
    <s v="材料消耗-物料消耗-样品费"/>
    <s v="物料消耗"/>
    <s v="物料消耗-样品费"/>
    <s v="样品费"/>
    <x v="8"/>
  </r>
  <r>
    <s v="6600060600"/>
    <s v="材料消耗-物料消耗-试验试制费"/>
    <s v="物料消耗"/>
    <s v="物料消耗-试验试制费"/>
    <s v="运营物料消耗"/>
    <x v="13"/>
  </r>
  <r>
    <s v="6600060900"/>
    <s v="材料消耗-物料消耗-低值易耗品"/>
    <s v="物料消耗"/>
    <s v="物料消耗-低值易耗品"/>
    <s v="运营物料消耗"/>
    <x v="5"/>
  </r>
  <r>
    <s v="6600060201"/>
    <s v="能源消耗-电费"/>
    <s v="能源消耗"/>
    <s v="能源消耗-电费"/>
    <s v="运营能源消耗"/>
    <x v="5"/>
  </r>
  <r>
    <s v="6600060202"/>
    <s v="能源消耗-油气"/>
    <s v="能源消耗"/>
    <s v="能源消耗-油气"/>
    <s v="运营能源消耗"/>
    <x v="5"/>
  </r>
  <r>
    <s v="6600060203"/>
    <s v="能源消耗-水费"/>
    <s v="能源消耗"/>
    <s v="能源消耗-水费"/>
    <s v="运营能源消耗"/>
    <x v="5"/>
  </r>
  <r>
    <s v="6600060204"/>
    <s v="能源消耗-蒸汽"/>
    <s v="能源消耗"/>
    <s v="能源消耗-蒸汽"/>
    <s v="运营能源消耗"/>
    <x v="5"/>
  </r>
  <r>
    <s v="6600060205"/>
    <s v="能源消耗-天燃气"/>
    <s v="能源消耗"/>
    <s v="能源消耗-天燃气"/>
    <s v="运营能源消耗"/>
    <x v="5"/>
  </r>
  <r>
    <s v="6600060206"/>
    <s v="能源消耗-采暖费"/>
    <s v="能源消耗"/>
    <s v="能源消耗-采暖费"/>
    <s v="运营能源消耗"/>
    <x v="5"/>
  </r>
  <r>
    <s v="6600070100"/>
    <s v="安全生产-安全生产费"/>
    <s v="安全生产费"/>
    <s v="安全生产费-安全耗材物资"/>
    <s v="安全生产费"/>
    <x v="1"/>
  </r>
  <r>
    <s v="6600070100"/>
    <s v="安全生产-安全生产费"/>
    <s v="安全生产费"/>
    <s v="安全生产费-安全教育培训费"/>
    <s v="安全生产费"/>
    <x v="1"/>
  </r>
  <r>
    <s v="6600070100"/>
    <s v="安全生产-安全生产费"/>
    <s v="安全生产费"/>
    <s v="安全生产费-安全体检费用"/>
    <s v="安全生产费"/>
    <x v="1"/>
  </r>
  <r>
    <s v="6600070100"/>
    <s v="安全生产-安全生产费"/>
    <s v="安全生产费"/>
    <s v="安全生产费-安全类办证费"/>
    <s v="安全生产费"/>
    <x v="1"/>
  </r>
  <r>
    <s v="6600070100"/>
    <s v="安全生产-安全生产费"/>
    <s v="安全生产费"/>
    <s v="安全生产费-安全评估费"/>
    <s v="安全生产费"/>
    <x v="1"/>
  </r>
  <r>
    <s v="6600070100"/>
    <s v="安全生产-安全生产费"/>
    <s v="安全生产费"/>
    <s v="安全生产费-马路人行道划线"/>
    <s v="安全生产费"/>
    <x v="1"/>
  </r>
  <r>
    <s v="6600070100"/>
    <s v="安全生产-安全生产费"/>
    <s v="安全生产费"/>
    <s v="安全生产费-安保制服费用"/>
    <s v="安全生产费"/>
    <x v="1"/>
  </r>
  <r>
    <s v="6600070100"/>
    <s v="安全生产-安全生产费"/>
    <s v="安全生产费"/>
    <s v="安全生产费-工伤费用"/>
    <s v="安全生产费"/>
    <x v="1"/>
  </r>
  <r>
    <s v="6600070100"/>
    <s v="安全生产-安全生产费"/>
    <s v="安全生产费"/>
    <s v="安全生产费-危化品管理费用"/>
    <s v="安全生产费"/>
    <x v="1"/>
  </r>
  <r>
    <s v="6600070100"/>
    <s v="安全生产-安全生产费"/>
    <s v="安全生产费"/>
    <s v="安全生产费-急救药品费用"/>
    <s v="安全生产费"/>
    <x v="1"/>
  </r>
  <r>
    <s v="6600070100"/>
    <s v="安全生产-安全生产费"/>
    <s v="安全生产费"/>
    <s v="安全生产费-特种设备检验费"/>
    <s v="安全生产费"/>
    <x v="1"/>
  </r>
  <r>
    <s v="6600070100"/>
    <s v="安全生产-安全生产费"/>
    <s v="安全生产费"/>
    <s v="安全生产费-防雷检验"/>
    <s v="安全生产费"/>
    <x v="1"/>
  </r>
  <r>
    <s v="6600070100"/>
    <s v="安全生产-安全生产费"/>
    <s v="安全生产费"/>
    <s v="安全生产费-消防验收"/>
    <s v="安全生产费"/>
    <x v="1"/>
  </r>
  <r>
    <s v="6600070100"/>
    <s v="安全生产-安全生产费"/>
    <s v="安全生产费"/>
    <s v="安全生产费-消防维保"/>
    <s v="安全生产费"/>
    <x v="1"/>
  </r>
  <r>
    <s v="6600070100"/>
    <s v="安全生产-安全生产费"/>
    <s v="安全生产费"/>
    <s v="安全生产费-检验检测费"/>
    <s v="安全生产费"/>
    <x v="1"/>
  </r>
  <r>
    <s v="6600070100"/>
    <s v="安全生产-安全生产费"/>
    <s v="安全生产费"/>
    <s v="安全生产费-气体侦测器"/>
    <s v="安全生产费"/>
    <x v="1"/>
  </r>
  <r>
    <s v="6600070100"/>
    <s v="安全生产-安全生产费"/>
    <s v="安全生产费"/>
    <s v="安全生产费-安责险"/>
    <s v="安全生产费"/>
    <x v="1"/>
  </r>
  <r>
    <s v="6600070100"/>
    <s v="安全生产-安全生产费"/>
    <s v="安全生产费"/>
    <s v="安全生产费-作业场所检测"/>
    <s v="安全生产费"/>
    <x v="1"/>
  </r>
  <r>
    <s v="6600070100"/>
    <s v="安全生产-安全生产费"/>
    <s v="安全生产费"/>
    <s v="安全生产费-其他安全生产费"/>
    <s v="安全生产费"/>
    <x v="1"/>
  </r>
  <r>
    <s v="6600070200"/>
    <s v="外部服务-危险废弃物处置费(安徽气体专用）"/>
    <s v="外部服务"/>
    <s v="危险废弃物处置费(安徽气体专用）"/>
    <s v="危险废弃物处置费"/>
    <x v="15"/>
  </r>
  <r>
    <s v="6600100200"/>
    <s v="其他费用-产品质量保证"/>
    <s v="产品质量保证"/>
    <s v="产品质量保证"/>
    <s v="产品质量保证"/>
    <x v="16"/>
  </r>
  <r>
    <s v="6600100203"/>
    <s v="其他费用-产品认证-安全认证"/>
    <s v="其他费用"/>
    <s v="产品安全认证"/>
    <s v="品管产品认证费"/>
    <x v="2"/>
  </r>
  <r>
    <s v="6600100300"/>
    <s v="其他费用-专利费"/>
    <s v="其他费用"/>
    <s v="专利年费"/>
    <s v="专利费"/>
    <x v="7"/>
  </r>
  <r>
    <s v="6600100300"/>
    <s v="其他费用-专利费"/>
    <s v="其他费用"/>
    <s v="其他专利费"/>
    <s v="专利费"/>
    <x v="7"/>
  </r>
  <r>
    <s v="6600100400"/>
    <s v="其他费用-中标服务费"/>
    <s v="其他费用"/>
    <s v="中标服务费"/>
    <s v="中标服务费"/>
    <x v="8"/>
  </r>
  <r>
    <s v="6600100500"/>
    <s v="其他费用-专利前期申请费用"/>
    <s v="其他费用"/>
    <s v="专利前期申请费用"/>
    <s v="专利费"/>
    <x v="7"/>
  </r>
  <r>
    <s v="6600100600"/>
    <s v="其他费用-证券费用"/>
    <s v="其他费用"/>
    <s v="信用披露费用"/>
    <s v="证券费用"/>
    <x v="17"/>
  </r>
  <r>
    <s v="6600100600"/>
    <s v="其他费用-证券费用"/>
    <s v="其他费用"/>
    <s v="报社年费"/>
    <s v="证券费用"/>
    <x v="17"/>
  </r>
  <r>
    <s v="6600100600"/>
    <s v="其他费用-证券费用"/>
    <s v="其他费用"/>
    <s v="其他证券费用"/>
    <s v="证券费用"/>
    <x v="17"/>
  </r>
  <r>
    <s v="6600109600"/>
    <s v="其他-其他"/>
    <s v="其他费用"/>
    <s v="其他费用"/>
    <s v="总办其他服务费"/>
    <x v="1"/>
  </r>
  <r>
    <s v="6600201000"/>
    <s v="员工持股受让回购股份过户费"/>
    <s v="员工持股受让回购股份过户费"/>
    <s v="员工持股受让回购股份过户费"/>
    <s v="员工持股受让回购股份过户费"/>
    <x v="17"/>
  </r>
  <r>
    <s v="6600202000"/>
    <s v="董事会会费"/>
    <s v="董事会会费"/>
    <s v="董事会会费"/>
    <s v="董事会会费"/>
    <x v="17"/>
  </r>
  <r>
    <s v="6600301000"/>
    <s v="搬迁费用"/>
    <s v="搬迁费用"/>
    <s v="搬迁费用"/>
    <s v="总办其他服务费"/>
    <x v="1"/>
  </r>
  <r>
    <s v="6603010100"/>
    <s v="财务费用-利息支出-贷款利息支出"/>
    <s v="财务费用"/>
    <s v="贷款利息支出"/>
    <s v="财务费用"/>
    <x v="3"/>
  </r>
  <r>
    <s v="6603010100"/>
    <s v="财务费用-利息支出-贷款利息支出"/>
    <s v="财务费用"/>
    <s v="贷款利息支出"/>
    <s v="财务费用"/>
    <x v="3"/>
  </r>
  <r>
    <s v="6603010100"/>
    <s v="财务费用-利息支出-贷款利息支出"/>
    <s v="财务费用"/>
    <s v="贷款利息支出"/>
    <s v="财务费用"/>
    <x v="3"/>
  </r>
  <r>
    <s v="6603010100"/>
    <s v="财务费用-利息支出-贷款利息支出"/>
    <s v="财务费用"/>
    <s v="贷款利息支出"/>
    <s v="财务费用"/>
    <x v="3"/>
  </r>
  <r>
    <s v="6603010100"/>
    <s v="财务费用-利息支出-贷款利息支出"/>
    <s v="财务费用"/>
    <s v="贷款利息支出"/>
    <s v="财务费用"/>
    <x v="3"/>
  </r>
  <r>
    <s v="6603010200"/>
    <s v="财务费用-利息支出-贴现利息支出"/>
    <s v="财务费用"/>
    <s v="贴现利息支出"/>
    <s v="财务费用"/>
    <x v="3"/>
  </r>
  <r>
    <s v="6603010300"/>
    <s v="财务费用-利息支出-拆借利息"/>
    <s v="财务费用"/>
    <s v="拆借利息"/>
    <s v="财务费用"/>
    <x v="3"/>
  </r>
  <r>
    <s v="6603040100"/>
    <s v="财务费用-手续费"/>
    <s v="财务费用"/>
    <s v="财务费用-手续费"/>
    <s v="财务费用"/>
    <x v="3"/>
  </r>
  <r>
    <s v="6401100000"/>
    <s v="主营业务成本-履约成本-运输费"/>
    <s v="外部服务"/>
    <s v="主营业务成本-履约成本-运输费（出口）"/>
    <s v="履约成本运输费"/>
    <x v="5"/>
  </r>
  <r>
    <s v="6401100000"/>
    <s v="主营业务成本-履约成本-运输费"/>
    <s v="外部服务"/>
    <s v="主营业务成本-履约成本-运输费（内销）"/>
    <s v="履约成本运输费"/>
    <x v="5"/>
  </r>
  <r>
    <s v="6401070000"/>
    <s v="主营业务成本-保证金"/>
    <s v="外部服务"/>
    <s v="主营业务成本-履约保证金"/>
    <s v="履约保证金"/>
    <x v="13"/>
  </r>
  <r>
    <s v="6405070000"/>
    <s v="营业税金及附加-车船使用税"/>
    <s v="其他费用"/>
    <s v="营业税金及附加-车船使用税"/>
    <s v="汽车费用"/>
    <x v="1"/>
  </r>
  <r>
    <s v="6711050000"/>
    <s v="营业外支出-捐赠支出"/>
    <s v="其他费用"/>
    <s v="营业外支出-捐赠支出"/>
    <s v="捐赠支出"/>
    <x v="1"/>
  </r>
  <r>
    <s v="6600031500"/>
    <s v="外部服务-修理费"/>
    <s v="SAP物料组"/>
    <s v="零星工程-气体管道一二次配工程"/>
    <s v="零星工程"/>
    <x v="5"/>
  </r>
  <r>
    <s v="6600031500"/>
    <s v="外部服务-修理费"/>
    <s v="SAP物料组"/>
    <s v="零星工程-一二次配工程"/>
    <s v="零星工程"/>
    <x v="5"/>
  </r>
  <r>
    <s v="6600031500"/>
    <s v="外部服务-修理费"/>
    <s v="SAP物料组"/>
    <s v="零星工程-动力工程"/>
    <s v="零星工程"/>
    <x v="5"/>
  </r>
  <r>
    <s v="6600031500"/>
    <s v="外部服务-修理费"/>
    <s v="SAP物料组"/>
    <s v="零星工程-车间工程"/>
    <s v="零星工程"/>
    <x v="5"/>
  </r>
  <r>
    <s v="6600031500"/>
    <s v="外部服务-修理费"/>
    <s v="SAP物料组"/>
    <s v="零星工程-生管工程"/>
    <s v="零星工程"/>
    <x v="5"/>
  </r>
  <r>
    <s v="6600010201"/>
    <s v="人工-福利费用-宿舍费用"/>
    <s v="SAP物料组"/>
    <s v="零星工程-总办宿舍工程"/>
    <s v="零星工程"/>
    <x v="5"/>
  </r>
  <r>
    <s v="6600010202"/>
    <s v="人工-福利费用-食堂费用"/>
    <s v="SAP物料组"/>
    <s v="零星工程-总办食堂工程"/>
    <s v="零星工程"/>
    <x v="5"/>
  </r>
  <r>
    <s v="6600021200"/>
    <s v="办公运营费-环保及绿化费"/>
    <s v="SAP物料组"/>
    <s v="零星工程-总办环保工程"/>
    <s v="零星工程"/>
    <x v="5"/>
  </r>
  <r>
    <s v="6600070100"/>
    <s v="安全生产-安全生产费"/>
    <s v="SAP物料组"/>
    <s v="零星工程-总办安全生产工程"/>
    <s v="零星工程"/>
    <x v="5"/>
  </r>
  <r>
    <s v="6600031500"/>
    <s v="外部服务-修理费"/>
    <s v="SAP物料组"/>
    <s v="零星工程-总办工程"/>
    <s v="零星工程"/>
    <x v="5"/>
  </r>
  <r>
    <s v="6600031500"/>
    <s v="外部服务-修理费"/>
    <s v="SAP物料组"/>
    <s v="零星工程-IT工程"/>
    <s v="IT维修费"/>
    <x v="4"/>
  </r>
  <r>
    <s v="6600031500"/>
    <s v="外部服务-修理费"/>
    <s v="SAP物料组"/>
    <s v="零星工程-基建工程"/>
    <s v="基建维修费"/>
    <x v="12"/>
  </r>
  <r>
    <s v="6600031500"/>
    <s v="外部服务-修理费"/>
    <s v="SAP物料组"/>
    <s v="委外服务-拆装机费"/>
    <s v="运营委外维修费"/>
    <x v="5"/>
  </r>
  <r>
    <s v="6600031500"/>
    <s v="外部服务-修理费"/>
    <s v="SAP物料组"/>
    <s v="设备维保-升级改造"/>
    <s v="运营设备维修费"/>
    <x v="5"/>
  </r>
  <r>
    <s v="6600031500"/>
    <s v="外部服务-修理费"/>
    <s v="SAP物料组"/>
    <s v="设备维保-维修保养"/>
    <s v="运营设备维修费"/>
    <x v="5"/>
  </r>
  <r>
    <s v="6600031500"/>
    <s v="外部服务-修理费"/>
    <s v="SAP物料组"/>
    <s v="设备维保-动力"/>
    <s v="运营设备维修费"/>
    <x v="5"/>
  </r>
  <r>
    <s v="6600031500"/>
    <s v="外部服务-修理费"/>
    <s v="SAP物料组"/>
    <s v="泵类维保"/>
    <s v="运营设备维修费"/>
    <x v="5"/>
  </r>
  <r>
    <s v="6600031500"/>
    <s v="外部服务-修理费"/>
    <s v="SAP物料组"/>
    <s v="备件维修-马达"/>
    <s v="运营设备维修费"/>
    <x v="5"/>
  </r>
  <r>
    <s v="6600031500"/>
    <s v="外部服务-修理费"/>
    <s v="SAP物料组"/>
    <s v="备件维修-电源"/>
    <s v="运营设备维修费"/>
    <x v="5"/>
  </r>
  <r>
    <s v="6600031500"/>
    <s v="外部服务-修理费"/>
    <s v="SAP物料组"/>
    <s v="备件维修-射频"/>
    <s v="运营设备维修费"/>
    <x v="5"/>
  </r>
  <r>
    <s v="6600031500"/>
    <s v="外部服务-修理费"/>
    <s v="SAP物料组"/>
    <s v="设备维修-PVD"/>
    <s v="运营设备维修费"/>
    <x v="5"/>
  </r>
  <r>
    <s v="6600031500"/>
    <s v="外部服务-修理费"/>
    <s v="SAP物料组"/>
    <s v="备件维修-磨具开槽"/>
    <s v="运营设备维修费"/>
    <x v="5"/>
  </r>
  <r>
    <s v="6600031500"/>
    <s v="外部服务-修理费"/>
    <s v="SAP物料组"/>
    <s v="备件维修-衬板喷砂熔射"/>
    <s v="运营设备维修费"/>
    <x v="5"/>
  </r>
  <r>
    <s v="6600031500"/>
    <s v="外部服务-修理费"/>
    <s v="SAP物料组"/>
    <s v="备件维修-电子电器类"/>
    <s v="运营设备维修费"/>
    <x v="5"/>
  </r>
  <r>
    <s v="6600031500"/>
    <s v="外部服务-修理费"/>
    <s v="SAP物料组"/>
    <s v="备件维修-冰水机"/>
    <s v="运营设备维修费"/>
    <x v="5"/>
  </r>
  <r>
    <s v="6600031500"/>
    <s v="外部服务-修理费"/>
    <s v="SAP物料组"/>
    <s v="备件维修-五金杂项"/>
    <s v="运营设备维修费"/>
    <x v="5"/>
  </r>
  <r>
    <s v="6600031500"/>
    <s v="外部服务-修理费"/>
    <s v="SAP物料组"/>
    <s v="备件维修-砂轮"/>
    <s v="运营设备维修费"/>
    <x v="5"/>
  </r>
  <r>
    <s v="6600031500"/>
    <s v="外部服务-修理费"/>
    <s v="SAP物料组"/>
    <s v="备件维修-工装类/切割刀类"/>
    <s v="运营设备维修费"/>
    <x v="5"/>
  </r>
  <r>
    <s v="6600031500"/>
    <s v="外部服务-修理费"/>
    <s v="SAP物料组"/>
    <s v="备件维修-石墨盘/铜盘/陶瓷盘"/>
    <s v="运营设备维修费"/>
    <x v="5"/>
  </r>
  <r>
    <s v="6600031500"/>
    <s v="外部服务-修理费"/>
    <s v="SAP物料组"/>
    <s v="备件维修-针卡"/>
    <s v="运营设备维修费"/>
    <x v="5"/>
  </r>
  <r>
    <s v="6600031500"/>
    <s v="外部服务-修理费"/>
    <s v="SAP物料组"/>
    <s v="自动化-升级改造"/>
    <s v="运营设备维修费"/>
    <x v="5"/>
  </r>
  <r>
    <s v="6600031500"/>
    <s v="外部服务-修理费"/>
    <s v="SAP物料组"/>
    <s v="工时费用"/>
    <s v="运营设备维修费"/>
    <x v="5"/>
  </r>
  <r>
    <s v="6600031500"/>
    <s v="外部服务-修理费"/>
    <s v="SAP物料组"/>
    <s v="大族维保费用"/>
    <s v="运营设备维修费"/>
    <x v="5"/>
  </r>
  <r>
    <s v="6600031500"/>
    <s v="外部服务-修理费"/>
    <s v="SAP物料组"/>
    <s v="Bake炉年保"/>
    <s v="运营设备维修费"/>
    <x v="5"/>
  </r>
  <r>
    <s v="6600031500"/>
    <s v="外部服务-修理费"/>
    <s v="SAP物料组"/>
    <s v="原子束曝光机年保"/>
    <s v="运营设备维修费"/>
    <x v="5"/>
  </r>
  <r>
    <s v="6600031500"/>
    <s v="外部服务-修理费"/>
    <s v="SAP物料组"/>
    <s v="FIB年保"/>
    <s v="运营设备维修费"/>
    <x v="5"/>
  </r>
  <r>
    <s v="6600031500"/>
    <s v="外部服务-修理费"/>
    <s v="SAP物料组"/>
    <s v="其他年保"/>
    <s v="运营设备维修费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2" applyNumberFormats="0" applyBorderFormats="0" applyFontFormats="0" applyPatternFormats="0" applyAlignmentFormats="0" applyWidthHeightFormats="1" dataCaption="值" updatedVersion="5" minRefreshableVersion="3" useAutoFormatting="1" itemPrintTitles="1" createdVersion="5" indent="0" outline="1" outlineData="1" multipleFieldFilters="0">
  <location ref="A3:A22" firstHeaderRow="1" firstDataRow="1" firstDataCol="1"/>
  <pivotFields count="6">
    <pivotField showAll="0"/>
    <pivotField showAll="0"/>
    <pivotField showAll="0"/>
    <pivotField showAll="0"/>
    <pivotField showAll="0"/>
    <pivotField axis="axisRow" showAll="0">
      <items count="19">
        <item x="4"/>
        <item x="15"/>
        <item x="13"/>
        <item x="16"/>
        <item x="3"/>
        <item x="10"/>
        <item x="6"/>
        <item x="9"/>
        <item x="12"/>
        <item x="7"/>
        <item x="2"/>
        <item x="0"/>
        <item x="11"/>
        <item x="8"/>
        <item x="5"/>
        <item x="17"/>
        <item x="1"/>
        <item x="14"/>
        <item t="default"/>
      </items>
    </pivotField>
  </pivotFields>
  <rowFields count="1">
    <field x="5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81"/>
  <sheetViews>
    <sheetView workbookViewId="0">
      <selection activeCell="H10" sqref="H10"/>
    </sheetView>
  </sheetViews>
  <sheetFormatPr defaultRowHeight="13.5" x14ac:dyDescent="0.3"/>
  <cols>
    <col min="1" max="1" width="9.06640625" style="67" bestFit="1" customWidth="1"/>
    <col min="2" max="2" width="21" style="64" bestFit="1" customWidth="1"/>
    <col min="3" max="3" width="27.1328125" bestFit="1" customWidth="1"/>
    <col min="4" max="4" width="11.1328125" style="67" bestFit="1" customWidth="1"/>
    <col min="5" max="5" width="11.1328125" style="64" bestFit="1" customWidth="1"/>
    <col min="6" max="6" width="13.265625" style="67" bestFit="1" customWidth="1"/>
    <col min="7" max="7" width="18.1328125" style="64" bestFit="1" customWidth="1"/>
    <col min="8" max="8" width="13.265625" style="67" bestFit="1" customWidth="1"/>
    <col min="9" max="9" width="13.265625" style="64" bestFit="1" customWidth="1"/>
    <col min="10" max="10" width="30.59765625" bestFit="1" customWidth="1"/>
    <col min="11" max="19" width="6.265625" bestFit="1" customWidth="1"/>
    <col min="20" max="22" width="7.33203125" bestFit="1" customWidth="1"/>
  </cols>
  <sheetData>
    <row r="1" spans="1:22" x14ac:dyDescent="0.3">
      <c r="A1" s="65" t="s">
        <v>609</v>
      </c>
      <c r="B1" s="62" t="s">
        <v>904</v>
      </c>
      <c r="C1" s="44" t="s">
        <v>833</v>
      </c>
      <c r="D1" s="65" t="s">
        <v>898</v>
      </c>
      <c r="E1" s="62" t="s">
        <v>899</v>
      </c>
      <c r="F1" s="65" t="s">
        <v>901</v>
      </c>
      <c r="G1" s="62" t="s">
        <v>902</v>
      </c>
      <c r="H1" s="65" t="s">
        <v>906</v>
      </c>
      <c r="I1" s="62" t="s">
        <v>907</v>
      </c>
      <c r="J1" s="32" t="s">
        <v>910</v>
      </c>
      <c r="K1" s="32" t="s">
        <v>597</v>
      </c>
      <c r="L1" s="32" t="s">
        <v>598</v>
      </c>
      <c r="M1" s="32" t="s">
        <v>599</v>
      </c>
      <c r="N1" s="32" t="s">
        <v>600</v>
      </c>
      <c r="O1" s="32" t="s">
        <v>601</v>
      </c>
      <c r="P1" s="32" t="s">
        <v>602</v>
      </c>
      <c r="Q1" s="32" t="s">
        <v>603</v>
      </c>
      <c r="R1" s="32" t="s">
        <v>604</v>
      </c>
      <c r="S1" s="32" t="s">
        <v>605</v>
      </c>
      <c r="T1" s="32" t="s">
        <v>606</v>
      </c>
      <c r="U1" s="32" t="s">
        <v>607</v>
      </c>
      <c r="V1" s="32" t="s">
        <v>608</v>
      </c>
    </row>
    <row r="2" spans="1:22" x14ac:dyDescent="0.3">
      <c r="A2" s="66" t="s">
        <v>905</v>
      </c>
      <c r="B2" s="64" t="str">
        <f>VLOOKUP(A2,公司代码公司名称对照表!A:B,2,0)</f>
        <v>三安光电股份有限公司</v>
      </c>
      <c r="C2" s="46" t="s">
        <v>172</v>
      </c>
      <c r="D2" s="68" t="s">
        <v>900</v>
      </c>
      <c r="E2" s="63" t="str">
        <f>VLOOKUP(D2,事业部生产单元对照表!A:B,2,0)</f>
        <v>氮化镓</v>
      </c>
      <c r="F2" s="68" t="s">
        <v>903</v>
      </c>
      <c r="G2" s="63" t="str">
        <f>VLOOKUP(F2,事业部生产单元对照表!E:F,2,0)</f>
        <v>南安生产单元(GaN)</v>
      </c>
      <c r="H2" s="67" t="s">
        <v>908</v>
      </c>
      <c r="I2" s="64" t="str">
        <f>VLOOKUP(H2,一级部门对照表!B:C,2,0)</f>
        <v>研发\技术</v>
      </c>
      <c r="J2" s="61">
        <f>SUM(K2:V2)</f>
        <v>0</v>
      </c>
    </row>
    <row r="3" spans="1:22" x14ac:dyDescent="0.3">
      <c r="C3" s="46" t="s">
        <v>162</v>
      </c>
      <c r="D3" s="69"/>
      <c r="E3" s="63"/>
      <c r="F3" s="69"/>
      <c r="G3" s="63"/>
      <c r="J3" s="61">
        <f t="shared" ref="J3:J31" si="0">SUM(K3:V3)</f>
        <v>0</v>
      </c>
    </row>
    <row r="4" spans="1:22" x14ac:dyDescent="0.3">
      <c r="C4" s="46" t="s">
        <v>169</v>
      </c>
      <c r="D4" s="69"/>
      <c r="E4" s="63"/>
      <c r="F4" s="69"/>
      <c r="G4" s="63"/>
      <c r="J4" s="61">
        <f t="shared" si="0"/>
        <v>0</v>
      </c>
    </row>
    <row r="5" spans="1:22" x14ac:dyDescent="0.3">
      <c r="C5" s="46" t="s">
        <v>165</v>
      </c>
      <c r="D5" s="69"/>
      <c r="E5" s="63"/>
      <c r="F5" s="69"/>
      <c r="G5" s="63"/>
      <c r="J5" s="61">
        <f t="shared" si="0"/>
        <v>0</v>
      </c>
    </row>
    <row r="6" spans="1:22" x14ac:dyDescent="0.3">
      <c r="C6" s="46" t="s">
        <v>376</v>
      </c>
      <c r="D6" s="69"/>
      <c r="E6" s="63"/>
      <c r="F6" s="69"/>
      <c r="G6" s="63"/>
      <c r="J6" s="61">
        <f t="shared" si="0"/>
        <v>0</v>
      </c>
    </row>
    <row r="7" spans="1:22" x14ac:dyDescent="0.3">
      <c r="C7" s="46" t="s">
        <v>167</v>
      </c>
      <c r="D7" s="69"/>
      <c r="E7" s="63"/>
      <c r="F7" s="69"/>
      <c r="G7" s="63"/>
      <c r="J7" s="61">
        <f t="shared" si="0"/>
        <v>0</v>
      </c>
    </row>
    <row r="8" spans="1:22" x14ac:dyDescent="0.3">
      <c r="C8" s="46" t="s">
        <v>136</v>
      </c>
      <c r="D8" s="69"/>
      <c r="E8" s="63"/>
      <c r="F8" s="69"/>
      <c r="G8" s="63"/>
      <c r="J8" s="61">
        <f t="shared" si="0"/>
        <v>0</v>
      </c>
    </row>
    <row r="9" spans="1:22" x14ac:dyDescent="0.3">
      <c r="C9" s="46" t="s">
        <v>360</v>
      </c>
      <c r="D9" s="69"/>
      <c r="E9" s="63"/>
      <c r="F9" s="69"/>
      <c r="G9" s="63"/>
      <c r="J9" s="61">
        <f t="shared" si="0"/>
        <v>0</v>
      </c>
    </row>
    <row r="10" spans="1:22" x14ac:dyDescent="0.3">
      <c r="C10" s="46" t="s">
        <v>87</v>
      </c>
      <c r="D10" s="69"/>
      <c r="E10" s="63"/>
      <c r="F10" s="69"/>
      <c r="G10" s="63"/>
      <c r="J10" s="61">
        <f t="shared" si="0"/>
        <v>0</v>
      </c>
    </row>
    <row r="11" spans="1:22" x14ac:dyDescent="0.3">
      <c r="A11" s="66"/>
      <c r="C11" s="46" t="s">
        <v>529</v>
      </c>
      <c r="D11" s="69"/>
      <c r="E11" s="63"/>
      <c r="F11" s="69"/>
      <c r="G11" s="63"/>
      <c r="J11" s="61">
        <f t="shared" si="0"/>
        <v>0</v>
      </c>
    </row>
    <row r="12" spans="1:22" x14ac:dyDescent="0.3">
      <c r="A12" s="66"/>
      <c r="C12" s="46" t="s">
        <v>294</v>
      </c>
      <c r="D12" s="69"/>
      <c r="E12" s="63"/>
      <c r="F12" s="69"/>
      <c r="G12" s="63"/>
      <c r="J12" s="61">
        <f t="shared" si="0"/>
        <v>0</v>
      </c>
    </row>
    <row r="13" spans="1:22" x14ac:dyDescent="0.3">
      <c r="A13" s="66"/>
      <c r="C13" s="46" t="s">
        <v>131</v>
      </c>
      <c r="D13" s="69"/>
      <c r="E13" s="63"/>
      <c r="F13" s="69"/>
      <c r="G13" s="63"/>
      <c r="J13" s="61">
        <f t="shared" si="0"/>
        <v>0</v>
      </c>
    </row>
    <row r="14" spans="1:22" x14ac:dyDescent="0.3">
      <c r="A14" s="66"/>
      <c r="C14" s="46" t="s">
        <v>404</v>
      </c>
      <c r="D14" s="69"/>
      <c r="E14" s="63"/>
      <c r="F14" s="69"/>
      <c r="G14" s="63"/>
      <c r="J14" s="61">
        <f t="shared" si="0"/>
        <v>0</v>
      </c>
    </row>
    <row r="15" spans="1:22" x14ac:dyDescent="0.3">
      <c r="A15" s="66"/>
      <c r="C15" s="46" t="s">
        <v>177</v>
      </c>
      <c r="D15" s="69"/>
      <c r="E15" s="63"/>
      <c r="F15" s="69"/>
      <c r="G15" s="63"/>
      <c r="J15" s="61">
        <f t="shared" si="0"/>
        <v>0</v>
      </c>
    </row>
    <row r="16" spans="1:22" x14ac:dyDescent="0.3">
      <c r="A16" s="66"/>
      <c r="C16" s="46" t="s">
        <v>496</v>
      </c>
      <c r="D16" s="69"/>
      <c r="E16" s="63"/>
      <c r="F16" s="69"/>
      <c r="G16" s="63"/>
      <c r="J16" s="61">
        <f t="shared" si="0"/>
        <v>0</v>
      </c>
    </row>
    <row r="17" spans="1:10" x14ac:dyDescent="0.3">
      <c r="A17" s="66"/>
      <c r="C17" s="46" t="s">
        <v>370</v>
      </c>
      <c r="D17" s="69"/>
      <c r="E17" s="63"/>
      <c r="F17" s="69"/>
      <c r="G17" s="63"/>
      <c r="J17" s="61">
        <f t="shared" si="0"/>
        <v>0</v>
      </c>
    </row>
    <row r="18" spans="1:10" x14ac:dyDescent="0.3">
      <c r="A18" s="66"/>
      <c r="C18" s="46" t="s">
        <v>413</v>
      </c>
      <c r="D18" s="69"/>
      <c r="E18" s="63"/>
      <c r="F18" s="69"/>
      <c r="G18" s="63"/>
      <c r="J18" s="61">
        <f t="shared" si="0"/>
        <v>0</v>
      </c>
    </row>
    <row r="19" spans="1:10" x14ac:dyDescent="0.3">
      <c r="C19" s="46" t="s">
        <v>524</v>
      </c>
      <c r="D19" s="69"/>
      <c r="E19" s="63"/>
      <c r="F19" s="69"/>
      <c r="G19" s="63"/>
      <c r="J19" s="61">
        <f t="shared" si="0"/>
        <v>0</v>
      </c>
    </row>
    <row r="20" spans="1:10" x14ac:dyDescent="0.3">
      <c r="C20" s="46" t="s">
        <v>298</v>
      </c>
      <c r="D20" s="69"/>
      <c r="E20" s="63"/>
      <c r="F20" s="69"/>
      <c r="G20" s="63"/>
      <c r="J20" s="61">
        <f t="shared" si="0"/>
        <v>0</v>
      </c>
    </row>
    <row r="21" spans="1:10" x14ac:dyDescent="0.3">
      <c r="C21" s="46" t="s">
        <v>124</v>
      </c>
      <c r="D21" s="69"/>
      <c r="E21" s="63"/>
      <c r="F21" s="69"/>
      <c r="G21" s="63"/>
      <c r="J21" s="61">
        <f t="shared" si="0"/>
        <v>0</v>
      </c>
    </row>
    <row r="22" spans="1:10" x14ac:dyDescent="0.3">
      <c r="C22" s="46" t="s">
        <v>389</v>
      </c>
      <c r="D22" s="69"/>
      <c r="E22" s="63"/>
      <c r="F22" s="69"/>
      <c r="G22" s="63"/>
      <c r="J22" s="61">
        <f t="shared" si="0"/>
        <v>0</v>
      </c>
    </row>
    <row r="23" spans="1:10" x14ac:dyDescent="0.3">
      <c r="C23" s="46" t="s">
        <v>226</v>
      </c>
      <c r="D23" s="69"/>
      <c r="E23" s="63"/>
      <c r="F23" s="69"/>
      <c r="G23" s="63"/>
      <c r="J23" s="61">
        <f t="shared" si="0"/>
        <v>0</v>
      </c>
    </row>
    <row r="24" spans="1:10" x14ac:dyDescent="0.3">
      <c r="C24" s="46" t="s">
        <v>253</v>
      </c>
      <c r="D24" s="69"/>
      <c r="E24" s="63"/>
      <c r="F24" s="69"/>
      <c r="G24" s="63"/>
      <c r="J24" s="61">
        <f t="shared" si="0"/>
        <v>0</v>
      </c>
    </row>
    <row r="25" spans="1:10" x14ac:dyDescent="0.3">
      <c r="C25" s="46" t="s">
        <v>385</v>
      </c>
      <c r="D25" s="69"/>
      <c r="E25" s="63"/>
      <c r="F25" s="69"/>
      <c r="G25" s="63"/>
      <c r="J25" s="61">
        <f t="shared" si="0"/>
        <v>0</v>
      </c>
    </row>
    <row r="26" spans="1:10" x14ac:dyDescent="0.3">
      <c r="C26" s="46" t="s">
        <v>344</v>
      </c>
      <c r="D26" s="69"/>
      <c r="E26" s="63"/>
      <c r="F26" s="69"/>
      <c r="G26" s="63"/>
      <c r="J26" s="61">
        <f t="shared" si="0"/>
        <v>0</v>
      </c>
    </row>
    <row r="27" spans="1:10" x14ac:dyDescent="0.3">
      <c r="C27" s="46" t="s">
        <v>341</v>
      </c>
      <c r="D27" s="69"/>
      <c r="E27" s="63"/>
      <c r="F27" s="69"/>
      <c r="G27" s="63"/>
      <c r="J27" s="61">
        <f t="shared" si="0"/>
        <v>0</v>
      </c>
    </row>
    <row r="28" spans="1:10" x14ac:dyDescent="0.3">
      <c r="C28" s="46" t="s">
        <v>331</v>
      </c>
      <c r="D28" s="69"/>
      <c r="E28" s="63"/>
      <c r="F28" s="69"/>
      <c r="G28" s="63"/>
      <c r="J28" s="61">
        <f t="shared" si="0"/>
        <v>0</v>
      </c>
    </row>
    <row r="29" spans="1:10" x14ac:dyDescent="0.3">
      <c r="C29" s="46" t="s">
        <v>301</v>
      </c>
      <c r="D29" s="69"/>
      <c r="E29" s="63"/>
      <c r="F29" s="69"/>
      <c r="G29" s="63"/>
      <c r="J29" s="61">
        <f t="shared" si="0"/>
        <v>0</v>
      </c>
    </row>
    <row r="30" spans="1:10" x14ac:dyDescent="0.3">
      <c r="C30" s="46" t="s">
        <v>366</v>
      </c>
      <c r="D30" s="69"/>
      <c r="E30" s="63"/>
      <c r="F30" s="69"/>
      <c r="G30" s="63"/>
      <c r="J30" s="61">
        <f t="shared" si="0"/>
        <v>0</v>
      </c>
    </row>
    <row r="31" spans="1:10" x14ac:dyDescent="0.3">
      <c r="C31" s="46" t="s">
        <v>552</v>
      </c>
      <c r="D31" s="69"/>
      <c r="E31" s="63"/>
      <c r="F31" s="69"/>
      <c r="G31" s="63"/>
      <c r="J31" s="61">
        <f t="shared" si="0"/>
        <v>0</v>
      </c>
    </row>
    <row r="32" spans="1:10" x14ac:dyDescent="0.3">
      <c r="C32" s="46" t="s">
        <v>129</v>
      </c>
      <c r="D32" s="69"/>
      <c r="E32" s="63"/>
      <c r="F32" s="69"/>
      <c r="G32" s="63"/>
    </row>
    <row r="33" spans="3:7" x14ac:dyDescent="0.3">
      <c r="C33" s="46" t="s">
        <v>555</v>
      </c>
      <c r="D33" s="69"/>
      <c r="E33" s="63"/>
      <c r="F33" s="69"/>
      <c r="G33" s="63"/>
    </row>
    <row r="34" spans="3:7" x14ac:dyDescent="0.3">
      <c r="C34" s="46" t="s">
        <v>547</v>
      </c>
      <c r="D34" s="69"/>
      <c r="E34" s="63"/>
      <c r="F34" s="69"/>
      <c r="G34" s="63"/>
    </row>
    <row r="35" spans="3:7" x14ac:dyDescent="0.3">
      <c r="C35" s="46" t="s">
        <v>542</v>
      </c>
      <c r="D35" s="69"/>
      <c r="E35" s="63"/>
      <c r="F35" s="69"/>
      <c r="G35" s="63"/>
    </row>
    <row r="36" spans="3:7" x14ac:dyDescent="0.3">
      <c r="C36" s="46" t="s">
        <v>264</v>
      </c>
      <c r="D36" s="69"/>
      <c r="E36" s="63"/>
      <c r="F36" s="69"/>
      <c r="G36" s="63"/>
    </row>
    <row r="37" spans="3:7" x14ac:dyDescent="0.3">
      <c r="C37" s="46" t="s">
        <v>393</v>
      </c>
      <c r="D37" s="69"/>
      <c r="E37" s="63"/>
      <c r="F37" s="69"/>
      <c r="G37" s="63"/>
    </row>
    <row r="38" spans="3:7" x14ac:dyDescent="0.3">
      <c r="C38" s="46" t="s">
        <v>348</v>
      </c>
      <c r="D38" s="69"/>
      <c r="E38" s="63"/>
      <c r="F38" s="69"/>
      <c r="G38" s="63"/>
    </row>
    <row r="39" spans="3:7" x14ac:dyDescent="0.3">
      <c r="C39" s="46" t="s">
        <v>502</v>
      </c>
      <c r="D39" s="69"/>
      <c r="E39" s="63"/>
      <c r="F39" s="69"/>
      <c r="G39" s="63"/>
    </row>
    <row r="40" spans="3:7" x14ac:dyDescent="0.3">
      <c r="C40" s="46" t="s">
        <v>67</v>
      </c>
      <c r="D40" s="69"/>
      <c r="E40" s="63"/>
      <c r="F40" s="69"/>
      <c r="G40" s="63"/>
    </row>
    <row r="41" spans="3:7" x14ac:dyDescent="0.3">
      <c r="C41" s="46" t="s">
        <v>306</v>
      </c>
      <c r="D41" s="69"/>
      <c r="E41" s="63"/>
      <c r="F41" s="69"/>
      <c r="G41" s="63"/>
    </row>
    <row r="42" spans="3:7" x14ac:dyDescent="0.3">
      <c r="C42" s="46" t="s">
        <v>319</v>
      </c>
      <c r="D42" s="69"/>
      <c r="E42" s="63"/>
      <c r="F42" s="69"/>
      <c r="G42" s="63"/>
    </row>
    <row r="43" spans="3:7" x14ac:dyDescent="0.3">
      <c r="C43" s="46" t="s">
        <v>200</v>
      </c>
      <c r="D43" s="69"/>
      <c r="E43" s="63"/>
      <c r="F43" s="69"/>
      <c r="G43" s="63"/>
    </row>
    <row r="44" spans="3:7" x14ac:dyDescent="0.3">
      <c r="C44" s="46" t="s">
        <v>96</v>
      </c>
      <c r="D44" s="69"/>
      <c r="E44" s="63"/>
      <c r="F44" s="69"/>
      <c r="G44" s="63"/>
    </row>
    <row r="45" spans="3:7" x14ac:dyDescent="0.3">
      <c r="C45" s="46" t="s">
        <v>64</v>
      </c>
      <c r="D45" s="69"/>
      <c r="E45" s="63"/>
      <c r="F45" s="69"/>
      <c r="G45" s="63"/>
    </row>
    <row r="46" spans="3:7" x14ac:dyDescent="0.3">
      <c r="C46" s="46" t="s">
        <v>398</v>
      </c>
      <c r="D46" s="69"/>
      <c r="E46" s="63"/>
      <c r="F46" s="69"/>
      <c r="G46" s="63"/>
    </row>
    <row r="47" spans="3:7" x14ac:dyDescent="0.3">
      <c r="C47" s="46" t="s">
        <v>352</v>
      </c>
      <c r="D47" s="69"/>
      <c r="E47" s="63"/>
      <c r="F47" s="69"/>
      <c r="G47" s="63"/>
    </row>
    <row r="48" spans="3:7" x14ac:dyDescent="0.3">
      <c r="C48" s="46" t="s">
        <v>36</v>
      </c>
      <c r="D48" s="69"/>
      <c r="E48" s="63"/>
      <c r="F48" s="69"/>
      <c r="G48" s="63"/>
    </row>
    <row r="49" spans="3:7" x14ac:dyDescent="0.3">
      <c r="C49" s="46" t="s">
        <v>175</v>
      </c>
      <c r="D49" s="69"/>
      <c r="E49" s="63"/>
      <c r="F49" s="69"/>
      <c r="G49" s="63"/>
    </row>
    <row r="50" spans="3:7" x14ac:dyDescent="0.3">
      <c r="C50" s="46" t="s">
        <v>17</v>
      </c>
      <c r="D50" s="69"/>
      <c r="E50" s="63"/>
      <c r="F50" s="69"/>
      <c r="G50" s="63"/>
    </row>
    <row r="51" spans="3:7" x14ac:dyDescent="0.3">
      <c r="C51" s="46" t="s">
        <v>395</v>
      </c>
      <c r="D51" s="69"/>
      <c r="E51" s="63"/>
      <c r="F51" s="69"/>
      <c r="G51" s="63"/>
    </row>
    <row r="52" spans="3:7" x14ac:dyDescent="0.3">
      <c r="C52" s="46" t="s">
        <v>245</v>
      </c>
      <c r="D52" s="69"/>
      <c r="E52" s="63"/>
      <c r="F52" s="69"/>
      <c r="G52" s="63"/>
    </row>
    <row r="53" spans="3:7" x14ac:dyDescent="0.3">
      <c r="C53" s="46" t="s">
        <v>492</v>
      </c>
      <c r="D53" s="69"/>
      <c r="E53" s="63"/>
      <c r="F53" s="69"/>
      <c r="G53" s="63"/>
    </row>
    <row r="54" spans="3:7" x14ac:dyDescent="0.3">
      <c r="C54" s="46" t="s">
        <v>401</v>
      </c>
      <c r="D54" s="69"/>
      <c r="E54" s="63"/>
      <c r="F54" s="69"/>
      <c r="G54" s="63"/>
    </row>
    <row r="55" spans="3:7" x14ac:dyDescent="0.3">
      <c r="C55" s="46" t="s">
        <v>325</v>
      </c>
      <c r="D55" s="69"/>
      <c r="E55" s="63"/>
      <c r="F55" s="69"/>
      <c r="G55" s="63"/>
    </row>
    <row r="56" spans="3:7" x14ac:dyDescent="0.3">
      <c r="C56" s="46" t="s">
        <v>596</v>
      </c>
      <c r="D56" s="69"/>
      <c r="E56" s="63"/>
      <c r="F56" s="69"/>
      <c r="G56" s="63"/>
    </row>
    <row r="57" spans="3:7" x14ac:dyDescent="0.3">
      <c r="C57" s="46" t="s">
        <v>416</v>
      </c>
      <c r="D57" s="69"/>
      <c r="E57" s="63"/>
      <c r="F57" s="69"/>
      <c r="G57" s="63"/>
    </row>
    <row r="58" spans="3:7" x14ac:dyDescent="0.3">
      <c r="C58" s="46" t="s">
        <v>448</v>
      </c>
      <c r="D58" s="69"/>
      <c r="E58" s="63"/>
      <c r="F58" s="69"/>
      <c r="G58" s="63"/>
    </row>
    <row r="59" spans="3:7" x14ac:dyDescent="0.3">
      <c r="C59" s="46" t="s">
        <v>233</v>
      </c>
      <c r="D59" s="69"/>
      <c r="E59" s="63"/>
      <c r="F59" s="69"/>
      <c r="G59" s="63"/>
    </row>
    <row r="60" spans="3:7" x14ac:dyDescent="0.3">
      <c r="C60" s="46" t="s">
        <v>229</v>
      </c>
      <c r="D60" s="69"/>
      <c r="E60" s="63"/>
      <c r="F60" s="69"/>
      <c r="G60" s="63"/>
    </row>
    <row r="61" spans="3:7" x14ac:dyDescent="0.3">
      <c r="C61" s="46" t="s">
        <v>248</v>
      </c>
      <c r="D61" s="69"/>
      <c r="E61" s="63"/>
      <c r="F61" s="69"/>
      <c r="G61" s="63"/>
    </row>
    <row r="62" spans="3:7" x14ac:dyDescent="0.3">
      <c r="C62" s="46" t="s">
        <v>522</v>
      </c>
      <c r="D62" s="69"/>
      <c r="E62" s="63"/>
      <c r="F62" s="69"/>
      <c r="G62" s="63"/>
    </row>
    <row r="63" spans="3:7" x14ac:dyDescent="0.3">
      <c r="C63" s="46" t="s">
        <v>10</v>
      </c>
      <c r="D63" s="69"/>
      <c r="E63" s="63"/>
      <c r="F63" s="69"/>
      <c r="G63" s="63"/>
    </row>
    <row r="64" spans="3:7" x14ac:dyDescent="0.3">
      <c r="C64" s="46" t="s">
        <v>290</v>
      </c>
      <c r="D64" s="69"/>
      <c r="E64" s="63"/>
      <c r="F64" s="69"/>
      <c r="G64" s="63"/>
    </row>
    <row r="65" spans="3:7" x14ac:dyDescent="0.3">
      <c r="C65" s="46" t="s">
        <v>423</v>
      </c>
      <c r="D65" s="69"/>
      <c r="E65" s="63"/>
      <c r="F65" s="69"/>
      <c r="G65" s="63"/>
    </row>
    <row r="66" spans="3:7" x14ac:dyDescent="0.3">
      <c r="C66" s="46" t="s">
        <v>357</v>
      </c>
      <c r="D66" s="69"/>
      <c r="E66" s="63"/>
      <c r="F66" s="69"/>
      <c r="G66" s="63"/>
    </row>
    <row r="67" spans="3:7" x14ac:dyDescent="0.3">
      <c r="C67" s="46" t="s">
        <v>379</v>
      </c>
      <c r="D67" s="69"/>
      <c r="E67" s="63"/>
      <c r="F67" s="69"/>
      <c r="G67" s="63"/>
    </row>
    <row r="68" spans="3:7" x14ac:dyDescent="0.3">
      <c r="C68" s="46" t="s">
        <v>457</v>
      </c>
      <c r="D68" s="69"/>
      <c r="E68" s="63"/>
      <c r="F68" s="69"/>
      <c r="G68" s="63"/>
    </row>
    <row r="69" spans="3:7" x14ac:dyDescent="0.3">
      <c r="C69" s="46" t="s">
        <v>383</v>
      </c>
      <c r="D69" s="69"/>
      <c r="E69" s="63"/>
      <c r="F69" s="69"/>
      <c r="G69" s="63"/>
    </row>
    <row r="70" spans="3:7" x14ac:dyDescent="0.3">
      <c r="C70" s="46" t="s">
        <v>381</v>
      </c>
      <c r="D70" s="69"/>
      <c r="E70" s="63"/>
      <c r="F70" s="69"/>
      <c r="G70" s="63"/>
    </row>
    <row r="71" spans="3:7" x14ac:dyDescent="0.3">
      <c r="C71" s="46" t="s">
        <v>427</v>
      </c>
      <c r="D71" s="69"/>
      <c r="E71" s="63"/>
      <c r="F71" s="69"/>
      <c r="G71" s="63"/>
    </row>
    <row r="72" spans="3:7" x14ac:dyDescent="0.3">
      <c r="C72" s="46" t="s">
        <v>91</v>
      </c>
      <c r="D72" s="69"/>
      <c r="E72" s="63"/>
      <c r="F72" s="69"/>
      <c r="G72" s="63"/>
    </row>
    <row r="73" spans="3:7" x14ac:dyDescent="0.3">
      <c r="C73" s="46" t="s">
        <v>516</v>
      </c>
      <c r="D73" s="69"/>
      <c r="E73" s="63"/>
      <c r="F73" s="69"/>
      <c r="G73" s="63"/>
    </row>
    <row r="74" spans="3:7" x14ac:dyDescent="0.3">
      <c r="C74" s="46" t="s">
        <v>112</v>
      </c>
      <c r="D74" s="69"/>
      <c r="E74" s="63"/>
      <c r="F74" s="69"/>
      <c r="G74" s="63"/>
    </row>
    <row r="75" spans="3:7" x14ac:dyDescent="0.3">
      <c r="C75" s="46" t="s">
        <v>509</v>
      </c>
      <c r="D75" s="69"/>
      <c r="E75" s="63"/>
      <c r="F75" s="69"/>
      <c r="G75" s="63"/>
    </row>
    <row r="76" spans="3:7" x14ac:dyDescent="0.3">
      <c r="C76" s="46" t="s">
        <v>304</v>
      </c>
      <c r="D76" s="69"/>
      <c r="E76" s="63"/>
      <c r="F76" s="69"/>
      <c r="G76" s="63"/>
    </row>
    <row r="77" spans="3:7" x14ac:dyDescent="0.3">
      <c r="C77" s="46" t="s">
        <v>318</v>
      </c>
      <c r="D77" s="69"/>
      <c r="E77" s="63"/>
      <c r="F77" s="69"/>
      <c r="G77" s="63"/>
    </row>
    <row r="78" spans="3:7" x14ac:dyDescent="0.3">
      <c r="C78" s="46" t="s">
        <v>140</v>
      </c>
      <c r="D78" s="69"/>
      <c r="E78" s="63"/>
      <c r="F78" s="69"/>
      <c r="G78" s="63"/>
    </row>
    <row r="79" spans="3:7" x14ac:dyDescent="0.3">
      <c r="C79" s="46" t="s">
        <v>276</v>
      </c>
      <c r="D79" s="69"/>
      <c r="E79" s="63"/>
      <c r="F79" s="69"/>
      <c r="G79" s="63"/>
    </row>
    <row r="80" spans="3:7" x14ac:dyDescent="0.3">
      <c r="C80" s="46" t="s">
        <v>45</v>
      </c>
      <c r="D80" s="69"/>
      <c r="E80" s="63"/>
      <c r="F80" s="69"/>
      <c r="G80" s="63"/>
    </row>
    <row r="81" spans="3:7" x14ac:dyDescent="0.3">
      <c r="C81" s="46" t="s">
        <v>269</v>
      </c>
      <c r="D81" s="69"/>
      <c r="E81" s="63"/>
      <c r="F81" s="69"/>
      <c r="G81" s="63"/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3"/>
  <sheetViews>
    <sheetView topLeftCell="A63" workbookViewId="0">
      <selection activeCell="B80" sqref="B80"/>
    </sheetView>
  </sheetViews>
  <sheetFormatPr defaultRowHeight="18.399999999999999" x14ac:dyDescent="0.3"/>
  <cols>
    <col min="1" max="1" width="27.1328125" style="73" bestFit="1" customWidth="1"/>
    <col min="2" max="2" width="40.33203125" style="73" bestFit="1" customWidth="1"/>
    <col min="3" max="27" width="6.06640625" bestFit="1" customWidth="1"/>
  </cols>
  <sheetData>
    <row r="1" spans="1:22" x14ac:dyDescent="0.3">
      <c r="A1" s="73" t="s">
        <v>1304</v>
      </c>
      <c r="B1" s="73" t="s">
        <v>1305</v>
      </c>
    </row>
    <row r="2" spans="1:22" ht="13.5" x14ac:dyDescent="0.3">
      <c r="A2" t="s">
        <v>172</v>
      </c>
      <c r="B2" t="s">
        <v>1038</v>
      </c>
    </row>
    <row r="3" spans="1:22" ht="13.5" x14ac:dyDescent="0.3">
      <c r="A3" t="s">
        <v>162</v>
      </c>
      <c r="B3" t="s">
        <v>1039</v>
      </c>
    </row>
    <row r="4" spans="1:22" ht="13.5" x14ac:dyDescent="0.3">
      <c r="A4" t="s">
        <v>169</v>
      </c>
      <c r="B4" t="s">
        <v>1030</v>
      </c>
    </row>
    <row r="5" spans="1:22" ht="13.5" x14ac:dyDescent="0.3">
      <c r="A5" t="s">
        <v>165</v>
      </c>
      <c r="B5" t="s">
        <v>1029</v>
      </c>
    </row>
    <row r="6" spans="1:22" ht="13.5" x14ac:dyDescent="0.3">
      <c r="A6" t="s">
        <v>376</v>
      </c>
      <c r="B6" t="s">
        <v>1276</v>
      </c>
      <c r="C6" t="s">
        <v>981</v>
      </c>
      <c r="D6" t="s">
        <v>987</v>
      </c>
    </row>
    <row r="7" spans="1:22" ht="13.5" x14ac:dyDescent="0.3">
      <c r="A7" t="s">
        <v>167</v>
      </c>
      <c r="B7" t="s">
        <v>1032</v>
      </c>
    </row>
    <row r="8" spans="1:22" ht="13.5" x14ac:dyDescent="0.3">
      <c r="A8" t="s">
        <v>136</v>
      </c>
      <c r="B8" t="s">
        <v>1024</v>
      </c>
    </row>
    <row r="9" spans="1:22" ht="13.5" x14ac:dyDescent="0.3">
      <c r="A9" t="s">
        <v>360</v>
      </c>
      <c r="B9" t="s">
        <v>1170</v>
      </c>
      <c r="C9" t="s">
        <v>1127</v>
      </c>
      <c r="D9" t="s">
        <v>1172</v>
      </c>
      <c r="E9" t="s">
        <v>1164</v>
      </c>
      <c r="F9" t="s">
        <v>1180</v>
      </c>
      <c r="G9" t="s">
        <v>1181</v>
      </c>
      <c r="H9" t="s">
        <v>1177</v>
      </c>
      <c r="I9" t="s">
        <v>1182</v>
      </c>
      <c r="J9" t="s">
        <v>1167</v>
      </c>
      <c r="K9" t="s">
        <v>1166</v>
      </c>
      <c r="L9" t="s">
        <v>1175</v>
      </c>
      <c r="M9" t="s">
        <v>1174</v>
      </c>
      <c r="N9" t="s">
        <v>1173</v>
      </c>
      <c r="O9" t="s">
        <v>1165</v>
      </c>
      <c r="P9" t="s">
        <v>1176</v>
      </c>
      <c r="Q9" t="s">
        <v>1179</v>
      </c>
      <c r="R9" t="s">
        <v>1178</v>
      </c>
      <c r="S9" t="s">
        <v>1168</v>
      </c>
      <c r="T9" t="s">
        <v>1169</v>
      </c>
      <c r="U9" t="s">
        <v>1171</v>
      </c>
      <c r="V9" t="s">
        <v>1102</v>
      </c>
    </row>
    <row r="10" spans="1:22" ht="13.5" x14ac:dyDescent="0.3">
      <c r="A10" t="s">
        <v>87</v>
      </c>
      <c r="B10" t="s">
        <v>992</v>
      </c>
    </row>
    <row r="11" spans="1:22" ht="13.5" x14ac:dyDescent="0.3">
      <c r="A11" t="s">
        <v>529</v>
      </c>
      <c r="B11" t="s">
        <v>1207</v>
      </c>
      <c r="C11" t="s">
        <v>1210</v>
      </c>
      <c r="D11" t="s">
        <v>1209</v>
      </c>
      <c r="E11" t="s">
        <v>1208</v>
      </c>
    </row>
    <row r="12" spans="1:22" ht="13.5" x14ac:dyDescent="0.3">
      <c r="A12" t="s">
        <v>294</v>
      </c>
      <c r="B12" t="s">
        <v>1083</v>
      </c>
    </row>
    <row r="13" spans="1:22" ht="13.5" x14ac:dyDescent="0.3">
      <c r="A13" t="s">
        <v>131</v>
      </c>
      <c r="B13" t="s">
        <v>1015</v>
      </c>
    </row>
    <row r="14" spans="1:22" ht="13.5" x14ac:dyDescent="0.3">
      <c r="A14" t="s">
        <v>404</v>
      </c>
      <c r="B14" t="s">
        <v>1117</v>
      </c>
    </row>
    <row r="15" spans="1:22" ht="13.5" x14ac:dyDescent="0.3">
      <c r="A15" t="s">
        <v>177</v>
      </c>
      <c r="B15" t="s">
        <v>940</v>
      </c>
      <c r="C15" t="s">
        <v>938</v>
      </c>
      <c r="D15" t="s">
        <v>933</v>
      </c>
      <c r="E15" t="s">
        <v>937</v>
      </c>
      <c r="F15" t="s">
        <v>922</v>
      </c>
      <c r="G15" t="s">
        <v>935</v>
      </c>
      <c r="H15" t="s">
        <v>936</v>
      </c>
      <c r="I15" t="s">
        <v>934</v>
      </c>
    </row>
    <row r="16" spans="1:22" ht="13.5" x14ac:dyDescent="0.3">
      <c r="A16" t="s">
        <v>496</v>
      </c>
      <c r="B16" t="s">
        <v>1183</v>
      </c>
    </row>
    <row r="17" spans="1:11" ht="13.5" x14ac:dyDescent="0.3">
      <c r="A17" t="s">
        <v>370</v>
      </c>
      <c r="B17" t="s">
        <v>1118</v>
      </c>
    </row>
    <row r="18" spans="1:11" ht="13.5" x14ac:dyDescent="0.3">
      <c r="A18" t="s">
        <v>413</v>
      </c>
      <c r="B18" t="s">
        <v>1141</v>
      </c>
    </row>
    <row r="19" spans="1:11" ht="13.5" x14ac:dyDescent="0.3">
      <c r="A19" t="s">
        <v>524</v>
      </c>
      <c r="B19" t="s">
        <v>1205</v>
      </c>
    </row>
    <row r="20" spans="1:11" ht="13.5" x14ac:dyDescent="0.3">
      <c r="A20" t="s">
        <v>298</v>
      </c>
      <c r="B20" t="s">
        <v>1090</v>
      </c>
      <c r="C20" t="s">
        <v>1082</v>
      </c>
    </row>
    <row r="21" spans="1:11" ht="13.5" x14ac:dyDescent="0.3">
      <c r="A21" t="s">
        <v>124</v>
      </c>
      <c r="B21" t="s">
        <v>1023</v>
      </c>
    </row>
    <row r="22" spans="1:11" ht="13.5" x14ac:dyDescent="0.3">
      <c r="A22" t="s">
        <v>389</v>
      </c>
      <c r="B22" t="s">
        <v>1113</v>
      </c>
    </row>
    <row r="23" spans="1:11" ht="13.5" x14ac:dyDescent="0.3">
      <c r="A23" t="s">
        <v>226</v>
      </c>
      <c r="B23" t="s">
        <v>1053</v>
      </c>
    </row>
    <row r="24" spans="1:11" ht="13.5" x14ac:dyDescent="0.3">
      <c r="A24" t="s">
        <v>253</v>
      </c>
      <c r="B24" t="s">
        <v>1061</v>
      </c>
      <c r="C24" t="s">
        <v>1060</v>
      </c>
      <c r="D24" t="s">
        <v>1046</v>
      </c>
      <c r="E24" t="s">
        <v>1066</v>
      </c>
      <c r="F24" t="s">
        <v>1074</v>
      </c>
      <c r="G24" t="s">
        <v>1064</v>
      </c>
      <c r="H24" t="s">
        <v>1072</v>
      </c>
      <c r="I24" t="s">
        <v>1057</v>
      </c>
      <c r="J24" t="s">
        <v>1077</v>
      </c>
      <c r="K24" t="s">
        <v>1051</v>
      </c>
    </row>
    <row r="25" spans="1:11" ht="13.5" x14ac:dyDescent="0.3">
      <c r="A25" t="s">
        <v>385</v>
      </c>
      <c r="B25" t="s">
        <v>984</v>
      </c>
      <c r="C25" t="s">
        <v>1258</v>
      </c>
    </row>
    <row r="26" spans="1:11" ht="13.5" x14ac:dyDescent="0.3">
      <c r="A26" t="s">
        <v>344</v>
      </c>
      <c r="B26" t="s">
        <v>1101</v>
      </c>
    </row>
    <row r="27" spans="1:11" ht="13.5" x14ac:dyDescent="0.3">
      <c r="A27" t="s">
        <v>341</v>
      </c>
      <c r="B27" t="s">
        <v>1110</v>
      </c>
    </row>
    <row r="28" spans="1:11" ht="13.5" x14ac:dyDescent="0.3">
      <c r="A28" t="s">
        <v>331</v>
      </c>
      <c r="B28" t="s">
        <v>1126</v>
      </c>
    </row>
    <row r="29" spans="1:11" ht="13.5" x14ac:dyDescent="0.3">
      <c r="A29" t="s">
        <v>301</v>
      </c>
      <c r="B29" t="s">
        <v>1099</v>
      </c>
    </row>
    <row r="30" spans="1:11" ht="13.5" x14ac:dyDescent="0.3">
      <c r="A30" t="s">
        <v>366</v>
      </c>
      <c r="B30" t="s">
        <v>1137</v>
      </c>
    </row>
    <row r="31" spans="1:11" ht="13.5" x14ac:dyDescent="0.3">
      <c r="A31" t="s">
        <v>552</v>
      </c>
      <c r="B31" t="s">
        <v>1188</v>
      </c>
    </row>
    <row r="32" spans="1:11" ht="13.5" x14ac:dyDescent="0.3">
      <c r="A32" t="s">
        <v>129</v>
      </c>
      <c r="B32" t="s">
        <v>1013</v>
      </c>
    </row>
    <row r="33" spans="1:11" ht="13.5" x14ac:dyDescent="0.3">
      <c r="A33" t="s">
        <v>555</v>
      </c>
      <c r="B33" t="s">
        <v>1264</v>
      </c>
    </row>
    <row r="34" spans="1:11" ht="13.5" x14ac:dyDescent="0.3">
      <c r="A34" t="s">
        <v>547</v>
      </c>
      <c r="B34" t="s">
        <v>1138</v>
      </c>
    </row>
    <row r="35" spans="1:11" ht="13.5" x14ac:dyDescent="0.3">
      <c r="A35" t="s">
        <v>542</v>
      </c>
      <c r="B35" t="s">
        <v>1129</v>
      </c>
      <c r="C35" t="s">
        <v>1131</v>
      </c>
    </row>
    <row r="36" spans="1:11" ht="13.5" x14ac:dyDescent="0.3">
      <c r="A36" t="s">
        <v>264</v>
      </c>
      <c r="B36" t="s">
        <v>1069</v>
      </c>
      <c r="C36" t="s">
        <v>1048</v>
      </c>
    </row>
    <row r="37" spans="1:11" ht="13.5" x14ac:dyDescent="0.3">
      <c r="A37" t="s">
        <v>393</v>
      </c>
      <c r="B37" t="s">
        <v>1104</v>
      </c>
    </row>
    <row r="38" spans="1:11" ht="13.5" x14ac:dyDescent="0.3">
      <c r="A38" t="s">
        <v>348</v>
      </c>
      <c r="B38" t="s">
        <v>1107</v>
      </c>
      <c r="C38" t="s">
        <v>1112</v>
      </c>
      <c r="D38" t="s">
        <v>1095</v>
      </c>
      <c r="E38" t="s">
        <v>1087</v>
      </c>
    </row>
    <row r="39" spans="1:11" ht="13.5" x14ac:dyDescent="0.3">
      <c r="A39" t="s">
        <v>502</v>
      </c>
      <c r="B39" t="s">
        <v>1194</v>
      </c>
    </row>
    <row r="40" spans="1:11" ht="13.5" x14ac:dyDescent="0.3">
      <c r="A40" t="s">
        <v>67</v>
      </c>
      <c r="B40" t="s">
        <v>975</v>
      </c>
    </row>
    <row r="41" spans="1:11" ht="13.5" x14ac:dyDescent="0.3">
      <c r="A41" t="s">
        <v>306</v>
      </c>
      <c r="B41" t="s">
        <v>1111</v>
      </c>
      <c r="C41" t="s">
        <v>1097</v>
      </c>
    </row>
    <row r="42" spans="1:11" ht="13.5" x14ac:dyDescent="0.3">
      <c r="A42" t="s">
        <v>1307</v>
      </c>
      <c r="B42" t="s">
        <v>1145</v>
      </c>
      <c r="C42" t="s">
        <v>1135</v>
      </c>
      <c r="D42" t="s">
        <v>1200</v>
      </c>
      <c r="E42" t="s">
        <v>1198</v>
      </c>
      <c r="F42" t="s">
        <v>1147</v>
      </c>
      <c r="G42" t="s">
        <v>1202</v>
      </c>
      <c r="H42" t="s">
        <v>1192</v>
      </c>
    </row>
    <row r="43" spans="1:11" ht="13.5" x14ac:dyDescent="0.3">
      <c r="A43" t="s">
        <v>319</v>
      </c>
      <c r="B43" t="s">
        <v>1125</v>
      </c>
    </row>
    <row r="44" spans="1:11" ht="13.5" x14ac:dyDescent="0.3">
      <c r="A44" t="s">
        <v>200</v>
      </c>
      <c r="B44" t="s">
        <v>1065</v>
      </c>
      <c r="C44" t="s">
        <v>1037</v>
      </c>
      <c r="D44" t="s">
        <v>1045</v>
      </c>
      <c r="E44" t="s">
        <v>1043</v>
      </c>
      <c r="F44" t="s">
        <v>1052</v>
      </c>
      <c r="G44" t="s">
        <v>1054</v>
      </c>
      <c r="H44" t="s">
        <v>1047</v>
      </c>
      <c r="I44" t="s">
        <v>1044</v>
      </c>
      <c r="J44" t="s">
        <v>1193</v>
      </c>
      <c r="K44" t="s">
        <v>1055</v>
      </c>
    </row>
    <row r="45" spans="1:11" ht="13.5" x14ac:dyDescent="0.3">
      <c r="A45" t="s">
        <v>96</v>
      </c>
      <c r="B45" t="s">
        <v>1016</v>
      </c>
      <c r="C45" t="s">
        <v>1014</v>
      </c>
    </row>
    <row r="46" spans="1:11" ht="13.5" x14ac:dyDescent="0.3">
      <c r="A46" t="s">
        <v>64</v>
      </c>
      <c r="B46" t="s">
        <v>995</v>
      </c>
      <c r="C46" t="s">
        <v>997</v>
      </c>
      <c r="D46" t="s">
        <v>1001</v>
      </c>
      <c r="E46" t="s">
        <v>996</v>
      </c>
      <c r="F46" t="s">
        <v>999</v>
      </c>
      <c r="G46" t="s">
        <v>1000</v>
      </c>
      <c r="H46" t="s">
        <v>998</v>
      </c>
      <c r="I46" t="s">
        <v>994</v>
      </c>
      <c r="J46" t="s">
        <v>1003</v>
      </c>
    </row>
    <row r="47" spans="1:11" ht="13.5" x14ac:dyDescent="0.3">
      <c r="A47" t="s">
        <v>398</v>
      </c>
      <c r="B47" t="s">
        <v>1106</v>
      </c>
    </row>
    <row r="48" spans="1:11" ht="13.5" x14ac:dyDescent="0.3">
      <c r="A48" t="s">
        <v>352</v>
      </c>
      <c r="B48" t="s">
        <v>1096</v>
      </c>
    </row>
    <row r="49" spans="1:20" ht="13.5" x14ac:dyDescent="0.3">
      <c r="A49" t="s">
        <v>36</v>
      </c>
      <c r="B49" t="s">
        <v>958</v>
      </c>
      <c r="C49" t="s">
        <v>955</v>
      </c>
      <c r="D49" t="s">
        <v>952</v>
      </c>
      <c r="E49" t="s">
        <v>968</v>
      </c>
      <c r="F49" t="s">
        <v>960</v>
      </c>
      <c r="G49" t="s">
        <v>991</v>
      </c>
      <c r="H49" t="s">
        <v>957</v>
      </c>
      <c r="I49" t="s">
        <v>950</v>
      </c>
      <c r="J49" t="s">
        <v>964</v>
      </c>
      <c r="K49" t="s">
        <v>977</v>
      </c>
    </row>
    <row r="50" spans="1:20" ht="13.5" x14ac:dyDescent="0.3">
      <c r="A50" t="s">
        <v>175</v>
      </c>
      <c r="B50" t="s">
        <v>1034</v>
      </c>
    </row>
    <row r="51" spans="1:20" ht="13.5" x14ac:dyDescent="0.3">
      <c r="A51" t="s">
        <v>17</v>
      </c>
      <c r="B51" t="s">
        <v>944</v>
      </c>
      <c r="C51" t="s">
        <v>953</v>
      </c>
      <c r="D51" t="s">
        <v>988</v>
      </c>
      <c r="E51" t="s">
        <v>959</v>
      </c>
      <c r="F51" t="s">
        <v>974</v>
      </c>
      <c r="G51" t="s">
        <v>961</v>
      </c>
      <c r="H51" t="s">
        <v>970</v>
      </c>
      <c r="I51" t="s">
        <v>965</v>
      </c>
      <c r="J51" t="s">
        <v>954</v>
      </c>
      <c r="K51" t="s">
        <v>969</v>
      </c>
      <c r="L51" t="s">
        <v>945</v>
      </c>
      <c r="M51" t="s">
        <v>962</v>
      </c>
      <c r="N51" t="s">
        <v>978</v>
      </c>
    </row>
    <row r="52" spans="1:20" ht="13.5" x14ac:dyDescent="0.3">
      <c r="A52" t="s">
        <v>395</v>
      </c>
      <c r="B52" t="s">
        <v>1136</v>
      </c>
    </row>
    <row r="53" spans="1:20" ht="13.5" x14ac:dyDescent="0.3">
      <c r="A53" t="s">
        <v>245</v>
      </c>
      <c r="B53" t="s">
        <v>1056</v>
      </c>
    </row>
    <row r="54" spans="1:20" ht="13.5" x14ac:dyDescent="0.3">
      <c r="A54" t="s">
        <v>492</v>
      </c>
      <c r="B54" t="s">
        <v>1132</v>
      </c>
    </row>
    <row r="55" spans="1:20" ht="13.5" x14ac:dyDescent="0.3">
      <c r="A55" t="s">
        <v>401</v>
      </c>
      <c r="B55" t="s">
        <v>1105</v>
      </c>
    </row>
    <row r="56" spans="1:20" ht="13.5" x14ac:dyDescent="0.3">
      <c r="A56" t="s">
        <v>325</v>
      </c>
      <c r="B56" t="s">
        <v>1114</v>
      </c>
    </row>
    <row r="57" spans="1:20" ht="13.5" x14ac:dyDescent="0.3">
      <c r="A57" t="s">
        <v>416</v>
      </c>
      <c r="B57" t="s">
        <v>1133</v>
      </c>
    </row>
    <row r="58" spans="1:20" ht="13.5" x14ac:dyDescent="0.3">
      <c r="A58" t="s">
        <v>448</v>
      </c>
      <c r="B58" t="s">
        <v>1153</v>
      </c>
    </row>
    <row r="59" spans="1:20" ht="13.5" x14ac:dyDescent="0.3">
      <c r="A59" t="s">
        <v>233</v>
      </c>
      <c r="B59" t="s">
        <v>1063</v>
      </c>
      <c r="C59" t="s">
        <v>1058</v>
      </c>
      <c r="D59" t="s">
        <v>1070</v>
      </c>
      <c r="E59" t="s">
        <v>1059</v>
      </c>
      <c r="F59" t="s">
        <v>1073</v>
      </c>
      <c r="G59" t="s">
        <v>1062</v>
      </c>
      <c r="H59" t="s">
        <v>1067</v>
      </c>
      <c r="I59" t="s">
        <v>1050</v>
      </c>
      <c r="J59" t="s">
        <v>1068</v>
      </c>
      <c r="K59" t="s">
        <v>1075</v>
      </c>
    </row>
    <row r="60" spans="1:20" ht="13.5" x14ac:dyDescent="0.3">
      <c r="A60" t="s">
        <v>229</v>
      </c>
      <c r="B60" t="s">
        <v>1042</v>
      </c>
    </row>
    <row r="61" spans="1:20" ht="13.5" x14ac:dyDescent="0.3">
      <c r="A61" t="s">
        <v>248</v>
      </c>
      <c r="B61" t="s">
        <v>1071</v>
      </c>
    </row>
    <row r="62" spans="1:20" ht="13.5" x14ac:dyDescent="0.3">
      <c r="A62" t="s">
        <v>1308</v>
      </c>
      <c r="B62" t="s">
        <v>1145</v>
      </c>
      <c r="C62" t="s">
        <v>1147</v>
      </c>
      <c r="D62" t="s">
        <v>1135</v>
      </c>
      <c r="E62" t="s">
        <v>948</v>
      </c>
      <c r="F62" t="s">
        <v>976</v>
      </c>
      <c r="G62" t="s">
        <v>1192</v>
      </c>
      <c r="H62" t="s">
        <v>963</v>
      </c>
      <c r="I62" t="s">
        <v>1297</v>
      </c>
      <c r="J62" t="s">
        <v>1202</v>
      </c>
      <c r="K62" t="s">
        <v>1303</v>
      </c>
      <c r="L62" t="s">
        <v>1200</v>
      </c>
      <c r="M62" t="s">
        <v>1198</v>
      </c>
      <c r="N62" t="s">
        <v>1299</v>
      </c>
      <c r="O62" t="s">
        <v>1301</v>
      </c>
      <c r="P62" t="s">
        <v>916</v>
      </c>
      <c r="Q62" t="s">
        <v>917</v>
      </c>
      <c r="R62" t="s">
        <v>918</v>
      </c>
      <c r="S62" t="s">
        <v>919</v>
      </c>
      <c r="T62" t="s">
        <v>920</v>
      </c>
    </row>
    <row r="63" spans="1:20" ht="13.5" x14ac:dyDescent="0.3">
      <c r="A63" t="s">
        <v>522</v>
      </c>
      <c r="B63" t="s">
        <v>1204</v>
      </c>
    </row>
    <row r="64" spans="1:20" ht="13.5" x14ac:dyDescent="0.3">
      <c r="A64" t="s">
        <v>10</v>
      </c>
      <c r="B64" t="s">
        <v>942</v>
      </c>
      <c r="C64" t="s">
        <v>943</v>
      </c>
    </row>
    <row r="65" spans="1:27" ht="13.5" x14ac:dyDescent="0.3">
      <c r="A65" t="s">
        <v>290</v>
      </c>
      <c r="B65" t="s">
        <v>1094</v>
      </c>
    </row>
    <row r="66" spans="1:27" ht="13.5" x14ac:dyDescent="0.3">
      <c r="A66" t="s">
        <v>423</v>
      </c>
      <c r="B66" t="s">
        <v>1143</v>
      </c>
    </row>
    <row r="67" spans="1:27" ht="13.5" x14ac:dyDescent="0.3">
      <c r="A67" t="s">
        <v>357</v>
      </c>
      <c r="B67" t="s">
        <v>1115</v>
      </c>
      <c r="C67" t="s">
        <v>1116</v>
      </c>
    </row>
    <row r="68" spans="1:27" ht="13.5" x14ac:dyDescent="0.3">
      <c r="A68" t="s">
        <v>379</v>
      </c>
      <c r="B68" t="s">
        <v>983</v>
      </c>
    </row>
    <row r="69" spans="1:27" ht="13.5" x14ac:dyDescent="0.3">
      <c r="A69" t="s">
        <v>457</v>
      </c>
      <c r="B69" t="s">
        <v>1161</v>
      </c>
      <c r="C69" t="s">
        <v>1160</v>
      </c>
      <c r="D69" t="s">
        <v>1159</v>
      </c>
      <c r="E69" t="s">
        <v>1158</v>
      </c>
      <c r="F69" t="s">
        <v>1163</v>
      </c>
      <c r="G69" t="s">
        <v>1162</v>
      </c>
    </row>
    <row r="70" spans="1:27" ht="13.5" x14ac:dyDescent="0.3">
      <c r="A70" t="s">
        <v>383</v>
      </c>
      <c r="B70" t="s">
        <v>1266</v>
      </c>
      <c r="C70" t="s">
        <v>1295</v>
      </c>
      <c r="D70" t="s">
        <v>1293</v>
      </c>
      <c r="E70" t="s">
        <v>1243</v>
      </c>
      <c r="F70" t="s">
        <v>1280</v>
      </c>
      <c r="G70" t="s">
        <v>1281</v>
      </c>
      <c r="H70" t="s">
        <v>1288</v>
      </c>
      <c r="I70" t="s">
        <v>1252</v>
      </c>
      <c r="J70" t="s">
        <v>1236</v>
      </c>
      <c r="K70" t="s">
        <v>1287</v>
      </c>
      <c r="L70" t="s">
        <v>1289</v>
      </c>
      <c r="M70" t="s">
        <v>1284</v>
      </c>
      <c r="N70" t="s">
        <v>1286</v>
      </c>
      <c r="O70" t="s">
        <v>1290</v>
      </c>
      <c r="P70" t="s">
        <v>1285</v>
      </c>
      <c r="Q70" t="s">
        <v>1291</v>
      </c>
      <c r="R70" t="s">
        <v>1265</v>
      </c>
      <c r="S70" t="s">
        <v>1259</v>
      </c>
      <c r="T70" t="s">
        <v>1292</v>
      </c>
      <c r="U70" t="s">
        <v>979</v>
      </c>
      <c r="V70" t="s">
        <v>1283</v>
      </c>
      <c r="W70" t="s">
        <v>1275</v>
      </c>
      <c r="X70" t="s">
        <v>1273</v>
      </c>
      <c r="Y70" t="s">
        <v>1294</v>
      </c>
      <c r="Z70" t="s">
        <v>1282</v>
      </c>
    </row>
    <row r="71" spans="1:27" ht="13.5" x14ac:dyDescent="0.3">
      <c r="A71" t="s">
        <v>381</v>
      </c>
      <c r="B71" t="s">
        <v>1121</v>
      </c>
      <c r="C71" t="s">
        <v>980</v>
      </c>
      <c r="D71" t="s">
        <v>1257</v>
      </c>
    </row>
    <row r="72" spans="1:27" ht="13.5" x14ac:dyDescent="0.3">
      <c r="A72" t="s">
        <v>427</v>
      </c>
      <c r="B72" t="s">
        <v>1149</v>
      </c>
      <c r="C72" t="s">
        <v>1157</v>
      </c>
      <c r="D72" t="s">
        <v>1152</v>
      </c>
      <c r="E72" t="s">
        <v>1150</v>
      </c>
      <c r="F72" t="s">
        <v>1148</v>
      </c>
      <c r="G72" t="s">
        <v>1151</v>
      </c>
      <c r="H72" t="s">
        <v>1154</v>
      </c>
      <c r="I72" t="s">
        <v>1156</v>
      </c>
      <c r="J72" t="s">
        <v>1155</v>
      </c>
    </row>
    <row r="73" spans="1:27" ht="13.5" x14ac:dyDescent="0.3">
      <c r="A73" t="s">
        <v>91</v>
      </c>
      <c r="B73" t="s">
        <v>1011</v>
      </c>
      <c r="C73" t="s">
        <v>1008</v>
      </c>
      <c r="D73" t="s">
        <v>1012</v>
      </c>
      <c r="E73" t="s">
        <v>1005</v>
      </c>
      <c r="F73" t="s">
        <v>1006</v>
      </c>
      <c r="G73" t="s">
        <v>1009</v>
      </c>
      <c r="H73" t="s">
        <v>1004</v>
      </c>
      <c r="I73" t="s">
        <v>1007</v>
      </c>
      <c r="J73" t="s">
        <v>1010</v>
      </c>
    </row>
    <row r="74" spans="1:27" ht="13.5" x14ac:dyDescent="0.3">
      <c r="A74" t="s">
        <v>516</v>
      </c>
      <c r="B74" t="s">
        <v>1190</v>
      </c>
      <c r="C74" t="s">
        <v>1184</v>
      </c>
      <c r="D74" t="s">
        <v>1196</v>
      </c>
    </row>
    <row r="75" spans="1:27" ht="13.5" x14ac:dyDescent="0.3">
      <c r="A75" t="s">
        <v>112</v>
      </c>
      <c r="B75" t="s">
        <v>1017</v>
      </c>
      <c r="C75" t="s">
        <v>1022</v>
      </c>
      <c r="D75" t="s">
        <v>1021</v>
      </c>
      <c r="E75" t="s">
        <v>1019</v>
      </c>
      <c r="F75" t="s">
        <v>1018</v>
      </c>
      <c r="G75" t="s">
        <v>1020</v>
      </c>
    </row>
    <row r="76" spans="1:27" ht="13.5" x14ac:dyDescent="0.3">
      <c r="A76" t="s">
        <v>509</v>
      </c>
      <c r="B76" t="s">
        <v>1189</v>
      </c>
    </row>
    <row r="77" spans="1:27" ht="13.5" x14ac:dyDescent="0.3">
      <c r="A77" t="s">
        <v>304</v>
      </c>
      <c r="B77" t="s">
        <v>1185</v>
      </c>
      <c r="C77" t="s">
        <v>1092</v>
      </c>
      <c r="D77" t="s">
        <v>1187</v>
      </c>
      <c r="E77" t="s">
        <v>1186</v>
      </c>
    </row>
    <row r="78" spans="1:27" ht="13.5" x14ac:dyDescent="0.3">
      <c r="A78" t="s">
        <v>318</v>
      </c>
      <c r="B78" t="s">
        <v>1086</v>
      </c>
    </row>
    <row r="79" spans="1:27" ht="13.5" x14ac:dyDescent="0.3">
      <c r="A79" t="s">
        <v>140</v>
      </c>
      <c r="B79" t="s">
        <v>1040</v>
      </c>
      <c r="C79" t="s">
        <v>1041</v>
      </c>
      <c r="D79" t="s">
        <v>1036</v>
      </c>
      <c r="E79" t="s">
        <v>1031</v>
      </c>
      <c r="F79" t="s">
        <v>1035</v>
      </c>
      <c r="G79" t="s">
        <v>985</v>
      </c>
      <c r="H79" t="s">
        <v>1076</v>
      </c>
      <c r="I79" t="s">
        <v>1033</v>
      </c>
      <c r="J79" t="s">
        <v>1049</v>
      </c>
      <c r="K79" t="s">
        <v>989</v>
      </c>
      <c r="L79" t="s">
        <v>1028</v>
      </c>
      <c r="M79" t="s">
        <v>1027</v>
      </c>
      <c r="N79" t="s">
        <v>1026</v>
      </c>
      <c r="O79" t="s">
        <v>1025</v>
      </c>
    </row>
    <row r="80" spans="1:27" ht="13.5" x14ac:dyDescent="0.3">
      <c r="A80" t="s">
        <v>276</v>
      </c>
      <c r="B80" t="s">
        <v>1122</v>
      </c>
      <c r="C80" t="s">
        <v>1206</v>
      </c>
      <c r="D80" t="s">
        <v>990</v>
      </c>
      <c r="E80" t="s">
        <v>1203</v>
      </c>
      <c r="F80" t="s">
        <v>1098</v>
      </c>
      <c r="G80" t="s">
        <v>1140</v>
      </c>
      <c r="H80" t="s">
        <v>1142</v>
      </c>
      <c r="I80" t="s">
        <v>1123</v>
      </c>
      <c r="J80" t="s">
        <v>1109</v>
      </c>
      <c r="K80" t="s">
        <v>1089</v>
      </c>
      <c r="L80" t="s">
        <v>986</v>
      </c>
      <c r="M80" t="s">
        <v>1120</v>
      </c>
      <c r="N80" t="s">
        <v>1119</v>
      </c>
      <c r="O80" t="s">
        <v>1103</v>
      </c>
      <c r="P80" t="s">
        <v>1088</v>
      </c>
      <c r="Q80" t="s">
        <v>1093</v>
      </c>
      <c r="R80" t="s">
        <v>1081</v>
      </c>
      <c r="S80" t="s">
        <v>1100</v>
      </c>
      <c r="T80" t="s">
        <v>1084</v>
      </c>
      <c r="U80" t="s">
        <v>1108</v>
      </c>
      <c r="V80" t="s">
        <v>982</v>
      </c>
      <c r="W80" t="s">
        <v>1139</v>
      </c>
      <c r="X80" t="s">
        <v>1130</v>
      </c>
      <c r="Y80" t="s">
        <v>1091</v>
      </c>
      <c r="Z80" t="s">
        <v>1124</v>
      </c>
      <c r="AA80" t="s">
        <v>1128</v>
      </c>
    </row>
    <row r="81" spans="1:12" ht="13.5" x14ac:dyDescent="0.3">
      <c r="A81" t="s">
        <v>1306</v>
      </c>
      <c r="B81">
        <v>1.0029999999999999</v>
      </c>
    </row>
    <row r="82" spans="1:12" ht="13.5" x14ac:dyDescent="0.3">
      <c r="A82" t="s">
        <v>45</v>
      </c>
      <c r="B82" t="s">
        <v>973</v>
      </c>
      <c r="C82" t="s">
        <v>947</v>
      </c>
      <c r="D82" t="s">
        <v>946</v>
      </c>
      <c r="E82" t="s">
        <v>956</v>
      </c>
      <c r="F82" t="s">
        <v>972</v>
      </c>
      <c r="G82" t="s">
        <v>971</v>
      </c>
      <c r="H82" t="s">
        <v>951</v>
      </c>
      <c r="I82" t="s">
        <v>949</v>
      </c>
      <c r="J82" t="s">
        <v>1195</v>
      </c>
      <c r="K82" t="s">
        <v>966</v>
      </c>
      <c r="L82" t="s">
        <v>967</v>
      </c>
    </row>
    <row r="83" spans="1:12" ht="13.5" x14ac:dyDescent="0.3">
      <c r="A83" t="s">
        <v>269</v>
      </c>
      <c r="B83" t="s">
        <v>1085</v>
      </c>
      <c r="C83" t="s">
        <v>1080</v>
      </c>
    </row>
  </sheetData>
  <sortState ref="A2:AA83">
    <sortCondition ref="A2:A83"/>
  </sortState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7"/>
  <sheetViews>
    <sheetView topLeftCell="A195" workbookViewId="0">
      <selection activeCell="C207" sqref="C207"/>
    </sheetView>
  </sheetViews>
  <sheetFormatPr defaultRowHeight="13.5" x14ac:dyDescent="0.3"/>
  <cols>
    <col min="1" max="1" width="53.73046875" style="43" bestFit="1" customWidth="1"/>
    <col min="2" max="2" width="20.59765625" bestFit="1" customWidth="1"/>
    <col min="3" max="3" width="15.6640625" bestFit="1" customWidth="1"/>
    <col min="6" max="6" width="53.73046875" style="43" bestFit="1" customWidth="1"/>
  </cols>
  <sheetData>
    <row r="1" spans="1:6" ht="18.399999999999999" x14ac:dyDescent="0.3">
      <c r="A1" s="72" t="s">
        <v>912</v>
      </c>
      <c r="B1" s="71" t="s">
        <v>913</v>
      </c>
      <c r="C1" s="71" t="s">
        <v>914</v>
      </c>
      <c r="F1" s="72" t="s">
        <v>912</v>
      </c>
    </row>
    <row r="2" spans="1:6" ht="18.399999999999999" x14ac:dyDescent="0.3">
      <c r="A2" s="72" t="s">
        <v>187</v>
      </c>
      <c r="B2" s="71" t="s">
        <v>915</v>
      </c>
      <c r="C2" s="71" t="s">
        <v>916</v>
      </c>
      <c r="D2" t="str">
        <f>VLOOKUP(C2,费控系统预算科目明细表!G:G,1,0)</f>
        <v>SA69</v>
      </c>
      <c r="F2" s="72" t="s">
        <v>187</v>
      </c>
    </row>
    <row r="3" spans="1:6" ht="18.399999999999999" x14ac:dyDescent="0.3">
      <c r="A3" s="72" t="s">
        <v>190</v>
      </c>
      <c r="B3" s="71" t="s">
        <v>915</v>
      </c>
      <c r="C3" s="71" t="s">
        <v>917</v>
      </c>
      <c r="D3" t="str">
        <f>VLOOKUP(C3,费控系统预算科目明细表!G:G,1,0)</f>
        <v>SA72</v>
      </c>
      <c r="F3" s="72" t="s">
        <v>190</v>
      </c>
    </row>
    <row r="4" spans="1:6" ht="18.399999999999999" x14ac:dyDescent="0.3">
      <c r="A4" s="72" t="s">
        <v>189</v>
      </c>
      <c r="B4" s="71" t="s">
        <v>915</v>
      </c>
      <c r="C4" s="71" t="s">
        <v>918</v>
      </c>
      <c r="D4" t="str">
        <f>VLOOKUP(C4,费控系统预算科目明细表!G:G,1,0)</f>
        <v>SA71</v>
      </c>
      <c r="F4" s="72" t="s">
        <v>189</v>
      </c>
    </row>
    <row r="5" spans="1:6" ht="18.399999999999999" x14ac:dyDescent="0.3">
      <c r="A5" s="72" t="s">
        <v>188</v>
      </c>
      <c r="B5" s="71" t="s">
        <v>915</v>
      </c>
      <c r="C5" s="71" t="s">
        <v>919</v>
      </c>
      <c r="D5" t="str">
        <f>VLOOKUP(C5,费控系统预算科目明细表!G:G,1,0)</f>
        <v>SA70</v>
      </c>
      <c r="F5" s="72" t="s">
        <v>188</v>
      </c>
    </row>
    <row r="6" spans="1:6" ht="18.399999999999999" x14ac:dyDescent="0.3">
      <c r="A6" s="72" t="s">
        <v>191</v>
      </c>
      <c r="B6" s="71" t="s">
        <v>915</v>
      </c>
      <c r="C6" s="71" t="s">
        <v>920</v>
      </c>
      <c r="D6" t="str">
        <f>VLOOKUP(C6,费控系统预算科目明细表!G:G,1,0)</f>
        <v>SA73</v>
      </c>
      <c r="F6" s="72" t="s">
        <v>191</v>
      </c>
    </row>
    <row r="7" spans="1:6" ht="18.399999999999999" x14ac:dyDescent="0.3">
      <c r="A7" s="72" t="s">
        <v>921</v>
      </c>
      <c r="B7" s="71" t="s">
        <v>915</v>
      </c>
      <c r="C7" s="71" t="s">
        <v>915</v>
      </c>
      <c r="D7" t="e">
        <f>VLOOKUP(C7,费控系统预算科目明细表!G:G,1,0)</f>
        <v>#N/A</v>
      </c>
      <c r="F7" s="72" t="s">
        <v>921</v>
      </c>
    </row>
    <row r="8" spans="1:6" ht="18.399999999999999" x14ac:dyDescent="0.3">
      <c r="A8" s="72" t="s">
        <v>178</v>
      </c>
      <c r="B8" s="71" t="s">
        <v>915</v>
      </c>
      <c r="C8" s="71" t="s">
        <v>922</v>
      </c>
      <c r="D8" t="str">
        <f>VLOOKUP(C8,费控系统预算科目明细表!G:G,1,0)</f>
        <v>SA64</v>
      </c>
      <c r="F8" s="72" t="s">
        <v>178</v>
      </c>
    </row>
    <row r="9" spans="1:6" ht="18.399999999999999" x14ac:dyDescent="0.3">
      <c r="A9" s="72" t="s">
        <v>923</v>
      </c>
      <c r="B9" s="71" t="s">
        <v>915</v>
      </c>
      <c r="C9" s="71" t="s">
        <v>924</v>
      </c>
      <c r="D9" t="e">
        <f>VLOOKUP(C9,费控系统预算科目明细表!G:G,1,0)</f>
        <v>#N/A</v>
      </c>
      <c r="F9" s="72" t="s">
        <v>923</v>
      </c>
    </row>
    <row r="10" spans="1:6" ht="18.399999999999999" x14ac:dyDescent="0.3">
      <c r="A10" s="72" t="s">
        <v>925</v>
      </c>
      <c r="B10" s="71" t="s">
        <v>915</v>
      </c>
      <c r="C10" s="71" t="s">
        <v>926</v>
      </c>
      <c r="D10" t="e">
        <f>VLOOKUP(C10,费控系统预算科目明细表!G:G,1,0)</f>
        <v>#N/A</v>
      </c>
      <c r="F10" s="72" t="s">
        <v>925</v>
      </c>
    </row>
    <row r="11" spans="1:6" ht="18.399999999999999" x14ac:dyDescent="0.3">
      <c r="A11" s="72" t="s">
        <v>927</v>
      </c>
      <c r="B11" s="71" t="s">
        <v>915</v>
      </c>
      <c r="C11" s="71" t="s">
        <v>928</v>
      </c>
      <c r="D11" t="e">
        <f>VLOOKUP(C11,费控系统预算科目明细表!G:G,1,0)</f>
        <v>#N/A</v>
      </c>
      <c r="F11" s="72" t="s">
        <v>927</v>
      </c>
    </row>
    <row r="12" spans="1:6" ht="18.399999999999999" x14ac:dyDescent="0.3">
      <c r="A12" s="72" t="s">
        <v>929</v>
      </c>
      <c r="B12" s="71" t="s">
        <v>915</v>
      </c>
      <c r="C12" s="71" t="s">
        <v>930</v>
      </c>
      <c r="D12" t="e">
        <f>VLOOKUP(C12,费控系统预算科目明细表!G:G,1,0)</f>
        <v>#N/A</v>
      </c>
      <c r="F12" s="72" t="s">
        <v>929</v>
      </c>
    </row>
    <row r="13" spans="1:6" ht="18.399999999999999" x14ac:dyDescent="0.3">
      <c r="A13" s="72" t="s">
        <v>931</v>
      </c>
      <c r="B13" s="71" t="s">
        <v>915</v>
      </c>
      <c r="C13" s="71" t="s">
        <v>915</v>
      </c>
      <c r="D13" t="e">
        <f>VLOOKUP(C13,费控系统预算科目明细表!G:G,1,0)</f>
        <v>#N/A</v>
      </c>
      <c r="F13" s="72" t="s">
        <v>931</v>
      </c>
    </row>
    <row r="14" spans="1:6" ht="18.399999999999999" x14ac:dyDescent="0.3">
      <c r="A14" s="72" t="s">
        <v>932</v>
      </c>
      <c r="B14" s="71" t="s">
        <v>915</v>
      </c>
      <c r="C14" s="71" t="s">
        <v>915</v>
      </c>
      <c r="D14" t="e">
        <f>VLOOKUP(C14,费控系统预算科目明细表!G:G,1,0)</f>
        <v>#N/A</v>
      </c>
      <c r="F14" s="72" t="s">
        <v>932</v>
      </c>
    </row>
    <row r="15" spans="1:6" ht="18.399999999999999" x14ac:dyDescent="0.3">
      <c r="A15" s="72" t="s">
        <v>181</v>
      </c>
      <c r="B15" s="71" t="s">
        <v>915</v>
      </c>
      <c r="C15" s="71" t="s">
        <v>933</v>
      </c>
      <c r="D15" t="str">
        <f>VLOOKUP(C15,费控系统预算科目明细表!G:G,1,0)</f>
        <v>SA65</v>
      </c>
      <c r="F15" s="72" t="s">
        <v>181</v>
      </c>
    </row>
    <row r="16" spans="1:6" ht="18.399999999999999" x14ac:dyDescent="0.3">
      <c r="A16" s="72" t="s">
        <v>185</v>
      </c>
      <c r="B16" s="71" t="s">
        <v>915</v>
      </c>
      <c r="C16" s="71" t="s">
        <v>934</v>
      </c>
      <c r="D16" t="str">
        <f>VLOOKUP(C16,费控系统预算科目明细表!G:G,1,0)</f>
        <v>SA67</v>
      </c>
      <c r="F16" s="72" t="s">
        <v>185</v>
      </c>
    </row>
    <row r="17" spans="1:6" ht="18.399999999999999" x14ac:dyDescent="0.3">
      <c r="A17" s="72" t="s">
        <v>184</v>
      </c>
      <c r="B17" s="71" t="s">
        <v>915</v>
      </c>
      <c r="C17" s="71" t="s">
        <v>935</v>
      </c>
      <c r="D17" t="str">
        <f>VLOOKUP(C17,费控系统预算科目明细表!G:G,1,0)</f>
        <v>SA66</v>
      </c>
      <c r="F17" s="72" t="s">
        <v>184</v>
      </c>
    </row>
    <row r="18" spans="1:6" ht="18.399999999999999" x14ac:dyDescent="0.3">
      <c r="A18" s="72" t="s">
        <v>186</v>
      </c>
      <c r="B18" s="71" t="s">
        <v>915</v>
      </c>
      <c r="C18" s="71" t="s">
        <v>936</v>
      </c>
      <c r="D18" t="str">
        <f>VLOOKUP(C18,费控系统预算科目明细表!G:G,1,0)</f>
        <v>SA68</v>
      </c>
      <c r="F18" s="72" t="s">
        <v>186</v>
      </c>
    </row>
    <row r="19" spans="1:6" ht="18.399999999999999" x14ac:dyDescent="0.3">
      <c r="A19" s="72" t="s">
        <v>194</v>
      </c>
      <c r="B19" s="71" t="s">
        <v>915</v>
      </c>
      <c r="C19" s="71" t="s">
        <v>937</v>
      </c>
      <c r="D19" t="str">
        <f>VLOOKUP(C19,费控系统预算科目明细表!G:G,1,0)</f>
        <v>SA74</v>
      </c>
      <c r="F19" s="72" t="s">
        <v>194</v>
      </c>
    </row>
    <row r="20" spans="1:6" ht="18.399999999999999" x14ac:dyDescent="0.3">
      <c r="A20" s="72" t="s">
        <v>195</v>
      </c>
      <c r="B20" s="71" t="s">
        <v>915</v>
      </c>
      <c r="C20" s="71" t="s">
        <v>938</v>
      </c>
      <c r="D20" t="str">
        <f>VLOOKUP(C20,费控系统预算科目明细表!G:G,1,0)</f>
        <v>SA75</v>
      </c>
      <c r="F20" s="72" t="s">
        <v>195</v>
      </c>
    </row>
    <row r="21" spans="1:6" ht="18.399999999999999" x14ac:dyDescent="0.3">
      <c r="A21" s="72" t="s">
        <v>939</v>
      </c>
      <c r="B21" s="71" t="s">
        <v>915</v>
      </c>
      <c r="C21" s="71" t="s">
        <v>940</v>
      </c>
      <c r="D21" t="str">
        <f>VLOOKUP(C21,费控系统预算科目明细表!G:G,1,0)</f>
        <v>SA76</v>
      </c>
      <c r="F21" s="72" t="s">
        <v>939</v>
      </c>
    </row>
    <row r="22" spans="1:6" ht="18.399999999999999" x14ac:dyDescent="0.3">
      <c r="A22" s="72" t="s">
        <v>941</v>
      </c>
      <c r="B22" s="71" t="s">
        <v>915</v>
      </c>
      <c r="C22" s="71" t="s">
        <v>915</v>
      </c>
      <c r="D22" t="e">
        <f>VLOOKUP(C22,费控系统预算科目明细表!G:G,1,0)</f>
        <v>#N/A</v>
      </c>
      <c r="F22" s="72" t="s">
        <v>941</v>
      </c>
    </row>
    <row r="23" spans="1:6" ht="18.399999999999999" x14ac:dyDescent="0.3">
      <c r="A23" s="72" t="s">
        <v>9</v>
      </c>
      <c r="B23" s="71" t="s">
        <v>915</v>
      </c>
      <c r="C23" s="71" t="s">
        <v>942</v>
      </c>
      <c r="D23" t="str">
        <f>VLOOKUP(C23,费控系统预算科目明细表!G:G,1,0)</f>
        <v>SA01</v>
      </c>
      <c r="F23" s="72" t="s">
        <v>9</v>
      </c>
    </row>
    <row r="24" spans="1:6" ht="18.399999999999999" x14ac:dyDescent="0.3">
      <c r="A24" s="72" t="s">
        <v>12</v>
      </c>
      <c r="B24" s="71" t="s">
        <v>915</v>
      </c>
      <c r="C24" s="71" t="s">
        <v>943</v>
      </c>
      <c r="D24" t="str">
        <f>VLOOKUP(C24,费控系统预算科目明细表!G:G,1,0)</f>
        <v>SA02</v>
      </c>
      <c r="F24" s="72" t="s">
        <v>12</v>
      </c>
    </row>
    <row r="25" spans="1:6" ht="18.399999999999999" x14ac:dyDescent="0.3">
      <c r="A25" s="72" t="s">
        <v>23</v>
      </c>
      <c r="B25" s="71" t="s">
        <v>915</v>
      </c>
      <c r="C25" s="71" t="s">
        <v>944</v>
      </c>
      <c r="D25" t="str">
        <f>VLOOKUP(C25,费控系统预算科目明细表!G:G,1,0)</f>
        <v>SA06</v>
      </c>
      <c r="F25" s="72" t="s">
        <v>23</v>
      </c>
    </row>
    <row r="26" spans="1:6" ht="18.399999999999999" x14ac:dyDescent="0.3">
      <c r="A26" s="72" t="s">
        <v>32</v>
      </c>
      <c r="B26" s="71" t="s">
        <v>915</v>
      </c>
      <c r="C26" s="71" t="s">
        <v>945</v>
      </c>
      <c r="D26" t="str">
        <f>VLOOKUP(C26,费控系统预算科目明细表!G:G,1,0)</f>
        <v>SA12</v>
      </c>
      <c r="F26" s="72" t="s">
        <v>32</v>
      </c>
    </row>
    <row r="27" spans="1:6" ht="18.399999999999999" x14ac:dyDescent="0.3">
      <c r="A27" s="72" t="s">
        <v>55</v>
      </c>
      <c r="B27" s="71" t="s">
        <v>915</v>
      </c>
      <c r="C27" s="71" t="s">
        <v>946</v>
      </c>
      <c r="D27" t="str">
        <f>VLOOKUP(C27,费控系统预算科目明细表!G:G,1,0)</f>
        <v>SA24</v>
      </c>
      <c r="F27" s="72" t="s">
        <v>55</v>
      </c>
    </row>
    <row r="28" spans="1:6" ht="18.399999999999999" x14ac:dyDescent="0.3">
      <c r="A28" s="72" t="s">
        <v>53</v>
      </c>
      <c r="B28" s="71" t="s">
        <v>915</v>
      </c>
      <c r="C28" s="71" t="s">
        <v>947</v>
      </c>
      <c r="D28" t="str">
        <f>VLOOKUP(C28,费控系统预算科目明细表!G:G,1,0)</f>
        <v>SA22</v>
      </c>
      <c r="F28" s="72" t="s">
        <v>53</v>
      </c>
    </row>
    <row r="29" spans="1:6" ht="18.399999999999999" x14ac:dyDescent="0.3">
      <c r="A29" s="72" t="s">
        <v>46</v>
      </c>
      <c r="B29" s="71" t="s">
        <v>915</v>
      </c>
      <c r="C29" s="71" t="s">
        <v>948</v>
      </c>
      <c r="D29" t="str">
        <f>VLOOKUP(C29,费控系统预算科目明细表!G:G,1,0)</f>
        <v>SA18</v>
      </c>
      <c r="F29" s="72" t="s">
        <v>46</v>
      </c>
    </row>
    <row r="30" spans="1:6" ht="18.399999999999999" x14ac:dyDescent="0.3">
      <c r="A30" s="72" t="s">
        <v>52</v>
      </c>
      <c r="B30" s="71" t="s">
        <v>915</v>
      </c>
      <c r="C30" s="71" t="s">
        <v>949</v>
      </c>
      <c r="D30" t="str">
        <f>VLOOKUP(C30,费控系统预算科目明细表!G:G,1,0)</f>
        <v>SA21</v>
      </c>
      <c r="F30" s="72" t="s">
        <v>52</v>
      </c>
    </row>
    <row r="31" spans="1:6" ht="18.399999999999999" x14ac:dyDescent="0.3">
      <c r="A31" s="72" t="s">
        <v>49</v>
      </c>
      <c r="B31" s="71" t="s">
        <v>915</v>
      </c>
      <c r="C31" s="71" t="s">
        <v>950</v>
      </c>
      <c r="D31" t="str">
        <f>VLOOKUP(C31,费控系统预算科目明细表!G:G,1,0)</f>
        <v>SA20</v>
      </c>
      <c r="F31" s="72" t="s">
        <v>49</v>
      </c>
    </row>
    <row r="32" spans="1:6" ht="18.399999999999999" x14ac:dyDescent="0.3">
      <c r="A32" s="72" t="s">
        <v>57</v>
      </c>
      <c r="B32" s="71" t="s">
        <v>915</v>
      </c>
      <c r="C32" s="71" t="s">
        <v>951</v>
      </c>
      <c r="D32" t="str">
        <f>VLOOKUP(C32,费控系统预算科目明细表!G:G,1,0)</f>
        <v>SA26</v>
      </c>
      <c r="F32" s="72" t="s">
        <v>57</v>
      </c>
    </row>
    <row r="33" spans="1:6" ht="18.399999999999999" x14ac:dyDescent="0.3">
      <c r="A33" s="72" t="s">
        <v>41</v>
      </c>
      <c r="B33" s="71" t="s">
        <v>915</v>
      </c>
      <c r="C33" s="71" t="s">
        <v>952</v>
      </c>
      <c r="D33" t="str">
        <f>VLOOKUP(C33,费控系统预算科目明细表!G:G,1,0)</f>
        <v>SA15</v>
      </c>
      <c r="F33" s="72" t="s">
        <v>41</v>
      </c>
    </row>
    <row r="34" spans="1:6" ht="18.399999999999999" x14ac:dyDescent="0.3">
      <c r="A34" s="72" t="s">
        <v>26</v>
      </c>
      <c r="B34" s="71" t="s">
        <v>915</v>
      </c>
      <c r="C34" s="71" t="s">
        <v>953</v>
      </c>
      <c r="D34" t="str">
        <f>VLOOKUP(C34,费控系统预算科目明细表!G:G,1,0)</f>
        <v>ZY106</v>
      </c>
      <c r="F34" s="72" t="s">
        <v>26</v>
      </c>
    </row>
    <row r="35" spans="1:6" ht="18.399999999999999" x14ac:dyDescent="0.3">
      <c r="A35" s="72" t="s">
        <v>30</v>
      </c>
      <c r="B35" s="71" t="s">
        <v>915</v>
      </c>
      <c r="C35" s="71" t="s">
        <v>954</v>
      </c>
      <c r="D35" t="str">
        <f>VLOOKUP(C35,费控系统预算科目明细表!G:G,1,0)</f>
        <v>SA10</v>
      </c>
      <c r="F35" s="72" t="s">
        <v>30</v>
      </c>
    </row>
    <row r="36" spans="1:6" ht="18.399999999999999" x14ac:dyDescent="0.3">
      <c r="A36" s="72" t="s">
        <v>42</v>
      </c>
      <c r="B36" s="71" t="s">
        <v>915</v>
      </c>
      <c r="C36" s="71" t="s">
        <v>955</v>
      </c>
      <c r="D36" t="str">
        <f>VLOOKUP(C36,费控系统预算科目明细表!G:G,1,0)</f>
        <v>ZY105</v>
      </c>
      <c r="F36" s="72" t="s">
        <v>42</v>
      </c>
    </row>
    <row r="37" spans="1:6" ht="18.399999999999999" x14ac:dyDescent="0.3">
      <c r="A37" s="72" t="s">
        <v>58</v>
      </c>
      <c r="B37" s="71" t="s">
        <v>915</v>
      </c>
      <c r="C37" s="71" t="s">
        <v>956</v>
      </c>
      <c r="D37" t="str">
        <f>VLOOKUP(C37,费控系统预算科目明细表!G:G,1,0)</f>
        <v>SA27</v>
      </c>
      <c r="F37" s="72" t="s">
        <v>58</v>
      </c>
    </row>
    <row r="38" spans="1:6" ht="18.399999999999999" x14ac:dyDescent="0.3">
      <c r="A38" s="72" t="s">
        <v>43</v>
      </c>
      <c r="B38" s="71" t="s">
        <v>915</v>
      </c>
      <c r="C38" s="71" t="s">
        <v>957</v>
      </c>
      <c r="D38" t="str">
        <f>VLOOKUP(C38,费控系统预算科目明细表!G:G,1,0)</f>
        <v>SA16</v>
      </c>
      <c r="F38" s="72" t="s">
        <v>43</v>
      </c>
    </row>
    <row r="39" spans="1:6" ht="18.399999999999999" x14ac:dyDescent="0.3">
      <c r="A39" s="72" t="s">
        <v>35</v>
      </c>
      <c r="B39" s="71" t="s">
        <v>915</v>
      </c>
      <c r="C39" s="71" t="s">
        <v>958</v>
      </c>
      <c r="D39" t="str">
        <f>VLOOKUP(C39,费控系统预算科目明细表!G:G,1,0)</f>
        <v>ZY103</v>
      </c>
      <c r="F39" s="72" t="s">
        <v>35</v>
      </c>
    </row>
    <row r="40" spans="1:6" ht="18.399999999999999" x14ac:dyDescent="0.3">
      <c r="A40" s="72" t="s">
        <v>25</v>
      </c>
      <c r="B40" s="71" t="s">
        <v>915</v>
      </c>
      <c r="C40" s="71" t="s">
        <v>959</v>
      </c>
      <c r="D40" t="str">
        <f>VLOOKUP(C40,费控系统预算科目明细表!G:G,1,0)</f>
        <v>SA08</v>
      </c>
      <c r="F40" s="72" t="s">
        <v>25</v>
      </c>
    </row>
    <row r="41" spans="1:6" ht="18.399999999999999" x14ac:dyDescent="0.3">
      <c r="A41" s="72" t="s">
        <v>48</v>
      </c>
      <c r="B41" s="71" t="s">
        <v>915</v>
      </c>
      <c r="C41" s="71" t="s">
        <v>960</v>
      </c>
      <c r="D41" t="str">
        <f>VLOOKUP(C41,费控系统预算科目明细表!G:G,1,0)</f>
        <v>ZY175</v>
      </c>
      <c r="F41" s="72" t="s">
        <v>48</v>
      </c>
    </row>
    <row r="42" spans="1:6" ht="18.399999999999999" x14ac:dyDescent="0.3">
      <c r="A42" s="72" t="s">
        <v>31</v>
      </c>
      <c r="B42" s="71" t="s">
        <v>915</v>
      </c>
      <c r="C42" s="71" t="s">
        <v>961</v>
      </c>
      <c r="D42" t="str">
        <f>VLOOKUP(C42,费控系统预算科目明细表!G:G,1,0)</f>
        <v>SA11</v>
      </c>
      <c r="F42" s="72" t="s">
        <v>31</v>
      </c>
    </row>
    <row r="43" spans="1:6" ht="18.399999999999999" x14ac:dyDescent="0.3">
      <c r="A43" s="72" t="s">
        <v>19</v>
      </c>
      <c r="B43" s="71" t="s">
        <v>915</v>
      </c>
      <c r="C43" s="71" t="s">
        <v>962</v>
      </c>
      <c r="D43" t="str">
        <f>VLOOKUP(C43,费控系统预算科目明细表!G:G,1,0)</f>
        <v>SA04</v>
      </c>
      <c r="F43" s="72" t="s">
        <v>19</v>
      </c>
    </row>
    <row r="44" spans="1:6" ht="18.399999999999999" x14ac:dyDescent="0.3">
      <c r="A44" s="72" t="s">
        <v>44</v>
      </c>
      <c r="B44" s="71" t="s">
        <v>915</v>
      </c>
      <c r="C44" s="71" t="s">
        <v>963</v>
      </c>
      <c r="D44" t="str">
        <f>VLOOKUP(C44,费控系统预算科目明细表!G:G,1,0)</f>
        <v>SA17</v>
      </c>
      <c r="F44" s="72" t="s">
        <v>44</v>
      </c>
    </row>
    <row r="45" spans="1:6" ht="18.399999999999999" x14ac:dyDescent="0.3">
      <c r="A45" s="72" t="s">
        <v>40</v>
      </c>
      <c r="B45" s="71" t="s">
        <v>915</v>
      </c>
      <c r="C45" s="71" t="s">
        <v>964</v>
      </c>
      <c r="D45" t="str">
        <f>VLOOKUP(C45,费控系统预算科目明细表!G:G,1,0)</f>
        <v>SA14</v>
      </c>
      <c r="F45" s="72" t="s">
        <v>40</v>
      </c>
    </row>
    <row r="46" spans="1:6" ht="18.399999999999999" x14ac:dyDescent="0.3">
      <c r="A46" s="72" t="s">
        <v>24</v>
      </c>
      <c r="B46" s="71" t="s">
        <v>915</v>
      </c>
      <c r="C46" s="71" t="s">
        <v>965</v>
      </c>
      <c r="D46" t="str">
        <f>VLOOKUP(C46,费控系统预算科目明细表!G:G,1,0)</f>
        <v>SA07</v>
      </c>
      <c r="F46" s="72" t="s">
        <v>24</v>
      </c>
    </row>
    <row r="47" spans="1:6" ht="18.399999999999999" x14ac:dyDescent="0.3">
      <c r="A47" s="72" t="s">
        <v>54</v>
      </c>
      <c r="B47" s="71" t="s">
        <v>915</v>
      </c>
      <c r="C47" s="71" t="s">
        <v>966</v>
      </c>
      <c r="D47" t="str">
        <f>VLOOKUP(C47,费控系统预算科目明细表!G:G,1,0)</f>
        <v>SA23</v>
      </c>
      <c r="F47" s="72" t="s">
        <v>54</v>
      </c>
    </row>
    <row r="48" spans="1:6" ht="18.399999999999999" x14ac:dyDescent="0.3">
      <c r="A48" s="72" t="s">
        <v>59</v>
      </c>
      <c r="B48" s="71" t="s">
        <v>915</v>
      </c>
      <c r="C48" s="71" t="s">
        <v>967</v>
      </c>
      <c r="D48" t="str">
        <f>VLOOKUP(C48,费控系统预算科目明细表!G:G,1,0)</f>
        <v>SA28</v>
      </c>
      <c r="F48" s="72" t="s">
        <v>59</v>
      </c>
    </row>
    <row r="49" spans="1:6" ht="18.399999999999999" x14ac:dyDescent="0.3">
      <c r="A49" s="72" t="s">
        <v>38</v>
      </c>
      <c r="B49" s="71" t="s">
        <v>915</v>
      </c>
      <c r="C49" s="71" t="s">
        <v>968</v>
      </c>
      <c r="D49" t="str">
        <f>VLOOKUP(C49,费控系统预算科目明细表!G:G,1,0)</f>
        <v>SA13</v>
      </c>
      <c r="F49" s="72" t="s">
        <v>38</v>
      </c>
    </row>
    <row r="50" spans="1:6" ht="18.399999999999999" x14ac:dyDescent="0.3">
      <c r="A50" s="72" t="s">
        <v>20</v>
      </c>
      <c r="B50" s="71" t="s">
        <v>915</v>
      </c>
      <c r="C50" s="71" t="s">
        <v>969</v>
      </c>
      <c r="D50" t="str">
        <f>VLOOKUP(C50,费控系统预算科目明细表!G:G,1,0)</f>
        <v>SA05</v>
      </c>
      <c r="F50" s="72" t="s">
        <v>20</v>
      </c>
    </row>
    <row r="51" spans="1:6" ht="18.399999999999999" x14ac:dyDescent="0.3">
      <c r="A51" s="72" t="s">
        <v>16</v>
      </c>
      <c r="B51" s="71" t="s">
        <v>915</v>
      </c>
      <c r="C51" s="71" t="s">
        <v>970</v>
      </c>
      <c r="D51" t="str">
        <f>VLOOKUP(C51,费控系统预算科目明细表!G:G,1,0)</f>
        <v>SA03</v>
      </c>
      <c r="F51" s="72" t="s">
        <v>16</v>
      </c>
    </row>
    <row r="52" spans="1:6" ht="18.399999999999999" x14ac:dyDescent="0.3">
      <c r="A52" s="72" t="s">
        <v>60</v>
      </c>
      <c r="B52" s="71" t="s">
        <v>915</v>
      </c>
      <c r="C52" s="71" t="s">
        <v>971</v>
      </c>
      <c r="D52" t="str">
        <f>VLOOKUP(C52,费控系统预算科目明细表!G:G,1,0)</f>
        <v>SA29</v>
      </c>
      <c r="F52" s="72" t="s">
        <v>60</v>
      </c>
    </row>
    <row r="53" spans="1:6" ht="18.399999999999999" x14ac:dyDescent="0.3">
      <c r="A53" s="72" t="s">
        <v>72</v>
      </c>
      <c r="B53" s="71" t="s">
        <v>915</v>
      </c>
      <c r="C53" s="71" t="s">
        <v>972</v>
      </c>
      <c r="D53" t="str">
        <f>VLOOKUP(C53,费控系统预算科目明细表!G:G,1,0)</f>
        <v>SA33</v>
      </c>
      <c r="F53" s="72" t="s">
        <v>72</v>
      </c>
    </row>
    <row r="54" spans="1:6" ht="18.399999999999999" x14ac:dyDescent="0.3">
      <c r="A54" s="72" t="s">
        <v>56</v>
      </c>
      <c r="B54" s="71" t="s">
        <v>915</v>
      </c>
      <c r="C54" s="71" t="s">
        <v>973</v>
      </c>
      <c r="D54" t="str">
        <f>VLOOKUP(C54,费控系统预算科目明细表!G:G,1,0)</f>
        <v>ZY176</v>
      </c>
      <c r="F54" s="72" t="s">
        <v>56</v>
      </c>
    </row>
    <row r="55" spans="1:6" ht="18.399999999999999" x14ac:dyDescent="0.3">
      <c r="A55" s="72" t="s">
        <v>29</v>
      </c>
      <c r="B55" s="71" t="s">
        <v>915</v>
      </c>
      <c r="C55" s="71" t="s">
        <v>974</v>
      </c>
      <c r="D55" t="str">
        <f>VLOOKUP(C55,费控系统预算科目明细表!G:G,1,0)</f>
        <v>SA09</v>
      </c>
      <c r="F55" s="72" t="s">
        <v>29</v>
      </c>
    </row>
    <row r="56" spans="1:6" ht="18.399999999999999" x14ac:dyDescent="0.3">
      <c r="A56" s="72" t="s">
        <v>66</v>
      </c>
      <c r="B56" s="71" t="s">
        <v>915</v>
      </c>
      <c r="C56" s="71" t="s">
        <v>975</v>
      </c>
      <c r="D56" t="str">
        <f>VLOOKUP(C56,费控系统预算科目明细表!G:G,1,0)</f>
        <v>ZY61</v>
      </c>
      <c r="F56" s="72" t="s">
        <v>66</v>
      </c>
    </row>
    <row r="57" spans="1:6" ht="18.399999999999999" x14ac:dyDescent="0.3">
      <c r="A57" s="72" t="s">
        <v>47</v>
      </c>
      <c r="B57" s="71" t="s">
        <v>915</v>
      </c>
      <c r="C57" s="71" t="s">
        <v>976</v>
      </c>
      <c r="D57" t="str">
        <f>VLOOKUP(C57,费控系统预算科目明细表!G:G,1,0)</f>
        <v>SA19</v>
      </c>
      <c r="F57" s="72" t="s">
        <v>47</v>
      </c>
    </row>
    <row r="58" spans="1:6" ht="18.399999999999999" x14ac:dyDescent="0.3">
      <c r="A58" s="72" t="s">
        <v>37</v>
      </c>
      <c r="B58" s="71" t="s">
        <v>915</v>
      </c>
      <c r="C58" s="71" t="s">
        <v>977</v>
      </c>
      <c r="D58" t="str">
        <f>VLOOKUP(C58,费控系统预算科目明细表!G:G,1,0)</f>
        <v>ZY59</v>
      </c>
      <c r="F58" s="72" t="s">
        <v>37</v>
      </c>
    </row>
    <row r="59" spans="1:6" ht="18.399999999999999" x14ac:dyDescent="0.3">
      <c r="A59" s="72" t="s">
        <v>22</v>
      </c>
      <c r="B59" s="71" t="s">
        <v>915</v>
      </c>
      <c r="C59" s="71" t="s">
        <v>978</v>
      </c>
      <c r="D59" t="str">
        <f>VLOOKUP(C59,费控系统预算科目明细表!G:G,1,0)</f>
        <v>ZY58</v>
      </c>
      <c r="F59" s="72" t="s">
        <v>22</v>
      </c>
    </row>
    <row r="60" spans="1:6" ht="18.399999999999999" x14ac:dyDescent="0.3">
      <c r="A60" s="72" t="s">
        <v>382</v>
      </c>
      <c r="B60" s="71" t="s">
        <v>915</v>
      </c>
      <c r="C60" s="71" t="s">
        <v>979</v>
      </c>
      <c r="D60" t="str">
        <f>VLOOKUP(C60,费控系统预算科目明细表!G:G,1,0)</f>
        <v>SA131</v>
      </c>
      <c r="F60" s="72" t="s">
        <v>382</v>
      </c>
    </row>
    <row r="61" spans="1:6" ht="18.399999999999999" x14ac:dyDescent="0.3">
      <c r="A61" s="72" t="s">
        <v>380</v>
      </c>
      <c r="B61" s="71" t="s">
        <v>915</v>
      </c>
      <c r="C61" s="71" t="s">
        <v>980</v>
      </c>
      <c r="D61" t="str">
        <f>VLOOKUP(C61,费控系统预算科目明细表!G:G,1,0)</f>
        <v>SA130</v>
      </c>
      <c r="F61" s="72" t="s">
        <v>380</v>
      </c>
    </row>
    <row r="62" spans="1:6" ht="18.399999999999999" x14ac:dyDescent="0.3">
      <c r="A62" s="72" t="s">
        <v>375</v>
      </c>
      <c r="B62" s="71" t="s">
        <v>915</v>
      </c>
      <c r="C62" s="71" t="s">
        <v>981</v>
      </c>
      <c r="D62" t="str">
        <f>VLOOKUP(C62,费控系统预算科目明细表!G:G,1,0)</f>
        <v>SA127</v>
      </c>
      <c r="F62" s="72" t="s">
        <v>375</v>
      </c>
    </row>
    <row r="63" spans="1:6" ht="18.399999999999999" x14ac:dyDescent="0.3">
      <c r="A63" s="72" t="s">
        <v>374</v>
      </c>
      <c r="B63" s="71" t="s">
        <v>915</v>
      </c>
      <c r="C63" s="71" t="s">
        <v>982</v>
      </c>
      <c r="D63" t="str">
        <f>VLOOKUP(C63,费控系统预算科目明细表!G:G,1,0)</f>
        <v>SA126</v>
      </c>
      <c r="F63" s="72" t="s">
        <v>374</v>
      </c>
    </row>
    <row r="64" spans="1:6" ht="18.399999999999999" x14ac:dyDescent="0.3">
      <c r="A64" s="72" t="s">
        <v>378</v>
      </c>
      <c r="B64" s="71" t="s">
        <v>915</v>
      </c>
      <c r="C64" s="71" t="s">
        <v>983</v>
      </c>
      <c r="D64" t="str">
        <f>VLOOKUP(C64,费控系统预算科目明细表!G:G,1,0)</f>
        <v>SA129</v>
      </c>
      <c r="F64" s="72" t="s">
        <v>378</v>
      </c>
    </row>
    <row r="65" spans="1:6" ht="18.399999999999999" x14ac:dyDescent="0.3">
      <c r="A65" s="72" t="s">
        <v>384</v>
      </c>
      <c r="B65" s="71" t="s">
        <v>915</v>
      </c>
      <c r="C65" s="71" t="s">
        <v>984</v>
      </c>
      <c r="D65" t="str">
        <f>VLOOKUP(C65,费控系统预算科目明细表!G:G,1,0)</f>
        <v>SA132</v>
      </c>
      <c r="F65" s="72" t="s">
        <v>384</v>
      </c>
    </row>
    <row r="66" spans="1:6" ht="18.399999999999999" x14ac:dyDescent="0.3">
      <c r="A66" s="72" t="s">
        <v>157</v>
      </c>
      <c r="B66" s="71" t="s">
        <v>915</v>
      </c>
      <c r="C66" s="71" t="s">
        <v>985</v>
      </c>
      <c r="D66" t="str">
        <f>VLOOKUP(C66,费控系统预算科目明细表!G:G,1,0)</f>
        <v>ZY69</v>
      </c>
      <c r="F66" s="72" t="s">
        <v>157</v>
      </c>
    </row>
    <row r="67" spans="1:6" ht="18.399999999999999" x14ac:dyDescent="0.3">
      <c r="A67" s="72" t="s">
        <v>275</v>
      </c>
      <c r="B67" s="71" t="s">
        <v>915</v>
      </c>
      <c r="C67" s="71" t="s">
        <v>986</v>
      </c>
      <c r="D67" t="str">
        <f>VLOOKUP(C67,费控系统预算科目明细表!G:G,1,0)</f>
        <v>ZY124</v>
      </c>
      <c r="F67" s="72" t="s">
        <v>275</v>
      </c>
    </row>
    <row r="68" spans="1:6" ht="18.399999999999999" x14ac:dyDescent="0.3">
      <c r="A68" s="72" t="s">
        <v>377</v>
      </c>
      <c r="B68" s="71" t="s">
        <v>915</v>
      </c>
      <c r="C68" s="71" t="s">
        <v>987</v>
      </c>
      <c r="D68" t="str">
        <f>VLOOKUP(C68,费控系统预算科目明细表!G:G,1,0)</f>
        <v>SA128</v>
      </c>
      <c r="F68" s="72" t="s">
        <v>377</v>
      </c>
    </row>
    <row r="69" spans="1:6" ht="18.399999999999999" x14ac:dyDescent="0.3">
      <c r="A69" s="72" t="s">
        <v>28</v>
      </c>
      <c r="B69" s="71" t="s">
        <v>915</v>
      </c>
      <c r="C69" s="71" t="s">
        <v>988</v>
      </c>
      <c r="D69" t="str">
        <f>VLOOKUP(C69,费控系统预算科目明细表!G:G,1,0)</f>
        <v>ZY107</v>
      </c>
      <c r="F69" s="72" t="s">
        <v>28</v>
      </c>
    </row>
    <row r="70" spans="1:6" ht="18.399999999999999" x14ac:dyDescent="0.3">
      <c r="A70" s="72" t="s">
        <v>154</v>
      </c>
      <c r="B70" s="71" t="s">
        <v>915</v>
      </c>
      <c r="C70" s="71" t="s">
        <v>989</v>
      </c>
      <c r="D70" t="str">
        <f>VLOOKUP(C70,费控系统预算科目明细表!G:G,1,0)</f>
        <v>ZY71</v>
      </c>
      <c r="F70" s="72" t="s">
        <v>154</v>
      </c>
    </row>
    <row r="71" spans="1:6" ht="18.399999999999999" x14ac:dyDescent="0.3">
      <c r="A71" s="72" t="s">
        <v>406</v>
      </c>
      <c r="B71" s="71" t="s">
        <v>915</v>
      </c>
      <c r="C71" s="71" t="s">
        <v>990</v>
      </c>
      <c r="D71" t="str">
        <f>VLOOKUP(C71,费控系统预算科目明细表!G:G,1,0)</f>
        <v>ZY117</v>
      </c>
      <c r="F71" s="72" t="s">
        <v>406</v>
      </c>
    </row>
    <row r="72" spans="1:6" ht="18.399999999999999" x14ac:dyDescent="0.3">
      <c r="A72" s="72" t="s">
        <v>39</v>
      </c>
      <c r="B72" s="71" t="s">
        <v>915</v>
      </c>
      <c r="C72" s="71" t="s">
        <v>991</v>
      </c>
      <c r="D72" t="str">
        <f>VLOOKUP(C72,费控系统预算科目明细表!G:G,1,0)</f>
        <v>ZY104</v>
      </c>
      <c r="F72" s="72" t="s">
        <v>39</v>
      </c>
    </row>
    <row r="73" spans="1:6" ht="18.399999999999999" x14ac:dyDescent="0.3">
      <c r="A73" s="72" t="s">
        <v>87</v>
      </c>
      <c r="B73" s="71" t="s">
        <v>915</v>
      </c>
      <c r="C73" s="71" t="s">
        <v>992</v>
      </c>
      <c r="D73" t="str">
        <f>VLOOKUP(C73,费控系统预算科目明细表!G:G,1,0)</f>
        <v>SA36</v>
      </c>
      <c r="F73" s="72" t="s">
        <v>87</v>
      </c>
    </row>
    <row r="74" spans="1:6" ht="18.399999999999999" x14ac:dyDescent="0.3">
      <c r="A74" s="72" t="s">
        <v>993</v>
      </c>
      <c r="B74" s="71" t="s">
        <v>915</v>
      </c>
      <c r="C74" s="71" t="s">
        <v>994</v>
      </c>
      <c r="D74" t="e">
        <f>VLOOKUP(C74,费控系统预算科目明细表!G:G,1,0)</f>
        <v>#N/A</v>
      </c>
      <c r="F74" s="72" t="s">
        <v>993</v>
      </c>
    </row>
    <row r="75" spans="1:6" ht="18.399999999999999" x14ac:dyDescent="0.3">
      <c r="A75" s="72" t="s">
        <v>75</v>
      </c>
      <c r="B75" s="71" t="s">
        <v>915</v>
      </c>
      <c r="C75" s="71" t="s">
        <v>995</v>
      </c>
      <c r="D75" t="str">
        <f>VLOOKUP(C75,费控系统预算科目明细表!G:G,1,0)</f>
        <v>SA34</v>
      </c>
      <c r="F75" s="72" t="s">
        <v>75</v>
      </c>
    </row>
    <row r="76" spans="1:6" ht="18.399999999999999" x14ac:dyDescent="0.3">
      <c r="A76" s="72" t="s">
        <v>84</v>
      </c>
      <c r="B76" s="71" t="s">
        <v>915</v>
      </c>
      <c r="C76" s="71" t="s">
        <v>996</v>
      </c>
      <c r="D76" t="str">
        <f>VLOOKUP(C76,费控系统预算科目明细表!G:G,1,0)</f>
        <v>SA35</v>
      </c>
      <c r="F76" s="72" t="s">
        <v>84</v>
      </c>
    </row>
    <row r="77" spans="1:6" ht="18.399999999999999" x14ac:dyDescent="0.3">
      <c r="A77" s="72" t="s">
        <v>65</v>
      </c>
      <c r="B77" s="71" t="s">
        <v>915</v>
      </c>
      <c r="C77" s="71" t="s">
        <v>997</v>
      </c>
      <c r="D77" t="str">
        <f>VLOOKUP(C77,费控系统预算科目明细表!G:G,1,0)</f>
        <v>SA31</v>
      </c>
      <c r="F77" s="72" t="s">
        <v>65</v>
      </c>
    </row>
    <row r="78" spans="1:6" ht="18.399999999999999" x14ac:dyDescent="0.3">
      <c r="A78" s="72" t="s">
        <v>81</v>
      </c>
      <c r="B78" s="71" t="s">
        <v>915</v>
      </c>
      <c r="C78" s="71" t="s">
        <v>998</v>
      </c>
      <c r="D78" t="str">
        <f>VLOOKUP(C78,费控系统预算科目明细表!G:G,1,0)</f>
        <v>SA182</v>
      </c>
      <c r="F78" s="72" t="s">
        <v>81</v>
      </c>
    </row>
    <row r="79" spans="1:6" ht="18.399999999999999" x14ac:dyDescent="0.3">
      <c r="A79" s="72" t="s">
        <v>63</v>
      </c>
      <c r="B79" s="71" t="s">
        <v>915</v>
      </c>
      <c r="C79" s="71" t="s">
        <v>999</v>
      </c>
      <c r="D79" t="str">
        <f>VLOOKUP(C79,费控系统预算科目明细表!G:G,1,0)</f>
        <v>SA30</v>
      </c>
      <c r="F79" s="72" t="s">
        <v>63</v>
      </c>
    </row>
    <row r="80" spans="1:6" ht="18.399999999999999" x14ac:dyDescent="0.3">
      <c r="A80" s="72" t="s">
        <v>79</v>
      </c>
      <c r="B80" s="71" t="s">
        <v>915</v>
      </c>
      <c r="C80" s="71" t="s">
        <v>1000</v>
      </c>
      <c r="D80" t="str">
        <f>VLOOKUP(C80,费控系统预算科目明细表!G:G,1,0)</f>
        <v>SA181</v>
      </c>
      <c r="F80" s="72" t="s">
        <v>79</v>
      </c>
    </row>
    <row r="81" spans="1:6" ht="18.399999999999999" x14ac:dyDescent="0.3">
      <c r="A81" s="72" t="s">
        <v>77</v>
      </c>
      <c r="B81" s="71" t="s">
        <v>915</v>
      </c>
      <c r="C81" s="71" t="s">
        <v>1001</v>
      </c>
      <c r="D81" t="str">
        <f>VLOOKUP(C81,费控系统预算科目明细表!G:G,1,0)</f>
        <v>SA180</v>
      </c>
      <c r="F81" s="72" t="s">
        <v>77</v>
      </c>
    </row>
    <row r="82" spans="1:6" ht="18.399999999999999" x14ac:dyDescent="0.3">
      <c r="A82" s="72" t="s">
        <v>1002</v>
      </c>
      <c r="B82" s="71" t="s">
        <v>915</v>
      </c>
      <c r="C82" s="71" t="s">
        <v>1003</v>
      </c>
      <c r="D82" t="e">
        <f>VLOOKUP(C82,费控系统预算科目明细表!G:G,1,0)</f>
        <v>#N/A</v>
      </c>
      <c r="F82" s="72" t="s">
        <v>1002</v>
      </c>
    </row>
    <row r="83" spans="1:6" ht="18.399999999999999" x14ac:dyDescent="0.3">
      <c r="A83" s="72" t="s">
        <v>101</v>
      </c>
      <c r="B83" s="71" t="s">
        <v>915</v>
      </c>
      <c r="C83" s="71" t="s">
        <v>1004</v>
      </c>
      <c r="D83" t="str">
        <f>VLOOKUP(C83,费控系统预算科目明细表!G:G,1,0)</f>
        <v>SA43</v>
      </c>
      <c r="F83" s="72" t="s">
        <v>101</v>
      </c>
    </row>
    <row r="84" spans="1:6" ht="18.399999999999999" x14ac:dyDescent="0.3">
      <c r="A84" s="72" t="s">
        <v>103</v>
      </c>
      <c r="B84" s="71" t="s">
        <v>915</v>
      </c>
      <c r="C84" s="71" t="s">
        <v>1005</v>
      </c>
      <c r="D84" t="str">
        <f>VLOOKUP(C84,费控系统预算科目明细表!G:G,1,0)</f>
        <v>SA44</v>
      </c>
      <c r="F84" s="72" t="s">
        <v>103</v>
      </c>
    </row>
    <row r="85" spans="1:6" ht="18.399999999999999" x14ac:dyDescent="0.3">
      <c r="A85" s="72" t="s">
        <v>109</v>
      </c>
      <c r="B85" s="71" t="s">
        <v>915</v>
      </c>
      <c r="C85" s="71" t="s">
        <v>1006</v>
      </c>
      <c r="D85" t="str">
        <f>VLOOKUP(C85,费控系统预算科目明细表!G:G,1,0)</f>
        <v>SA46</v>
      </c>
      <c r="F85" s="72" t="s">
        <v>109</v>
      </c>
    </row>
    <row r="86" spans="1:6" ht="18.399999999999999" x14ac:dyDescent="0.3">
      <c r="A86" s="72" t="s">
        <v>90</v>
      </c>
      <c r="B86" s="71" t="s">
        <v>915</v>
      </c>
      <c r="C86" s="71" t="s">
        <v>1007</v>
      </c>
      <c r="D86" t="str">
        <f>VLOOKUP(C86,费控系统预算科目明细表!G:G,1,0)</f>
        <v>SA37</v>
      </c>
      <c r="F86" s="72" t="s">
        <v>90</v>
      </c>
    </row>
    <row r="87" spans="1:6" ht="18.399999999999999" x14ac:dyDescent="0.3">
      <c r="A87" s="72" t="s">
        <v>93</v>
      </c>
      <c r="B87" s="71" t="s">
        <v>915</v>
      </c>
      <c r="C87" s="71" t="s">
        <v>1008</v>
      </c>
      <c r="D87" t="str">
        <f>VLOOKUP(C87,费控系统预算科目明细表!G:G,1,0)</f>
        <v>SA39</v>
      </c>
      <c r="F87" s="72" t="s">
        <v>93</v>
      </c>
    </row>
    <row r="88" spans="1:6" ht="18.399999999999999" x14ac:dyDescent="0.3">
      <c r="A88" s="72" t="s">
        <v>92</v>
      </c>
      <c r="B88" s="71" t="s">
        <v>915</v>
      </c>
      <c r="C88" s="71" t="s">
        <v>1009</v>
      </c>
      <c r="D88" t="str">
        <f>VLOOKUP(C88,费控系统预算科目明细表!G:G,1,0)</f>
        <v>SA38</v>
      </c>
      <c r="F88" s="72" t="s">
        <v>92</v>
      </c>
    </row>
    <row r="89" spans="1:6" ht="18.399999999999999" x14ac:dyDescent="0.3">
      <c r="A89" s="72" t="s">
        <v>106</v>
      </c>
      <c r="B89" s="71" t="s">
        <v>915</v>
      </c>
      <c r="C89" s="71" t="s">
        <v>1010</v>
      </c>
      <c r="D89" t="str">
        <f>VLOOKUP(C89,费控系统预算科目明细表!G:G,1,0)</f>
        <v>SA45</v>
      </c>
      <c r="F89" s="72" t="s">
        <v>106</v>
      </c>
    </row>
    <row r="90" spans="1:6" ht="18.399999999999999" x14ac:dyDescent="0.3">
      <c r="A90" s="72" t="s">
        <v>243</v>
      </c>
      <c r="B90" s="71" t="s">
        <v>915</v>
      </c>
      <c r="C90" s="71" t="s">
        <v>1011</v>
      </c>
      <c r="D90" t="str">
        <f>VLOOKUP(C90,费控系统预算科目明细表!G:G,1,0)</f>
        <v>SA98</v>
      </c>
      <c r="F90" s="72" t="s">
        <v>243</v>
      </c>
    </row>
    <row r="91" spans="1:6" ht="18.399999999999999" x14ac:dyDescent="0.3">
      <c r="A91" s="72" t="s">
        <v>100</v>
      </c>
      <c r="B91" s="71" t="s">
        <v>915</v>
      </c>
      <c r="C91" s="71" t="s">
        <v>1012</v>
      </c>
      <c r="D91" t="str">
        <f>VLOOKUP(C91,费控系统预算科目明细表!G:G,1,0)</f>
        <v>SA42</v>
      </c>
      <c r="F91" s="72" t="s">
        <v>100</v>
      </c>
    </row>
    <row r="92" spans="1:6" ht="18.399999999999999" x14ac:dyDescent="0.3">
      <c r="A92" s="72" t="s">
        <v>128</v>
      </c>
      <c r="B92" s="71" t="s">
        <v>915</v>
      </c>
      <c r="C92" s="71" t="s">
        <v>1013</v>
      </c>
      <c r="D92" t="str">
        <f>VLOOKUP(C92,费控系统预算科目明细表!G:G,1,0)</f>
        <v>SA54</v>
      </c>
      <c r="F92" s="72" t="s">
        <v>128</v>
      </c>
    </row>
    <row r="93" spans="1:6" ht="18.399999999999999" x14ac:dyDescent="0.3">
      <c r="A93" s="72" t="s">
        <v>98</v>
      </c>
      <c r="B93" s="71" t="s">
        <v>915</v>
      </c>
      <c r="C93" s="71" t="s">
        <v>1014</v>
      </c>
      <c r="D93" t="str">
        <f>VLOOKUP(C93,费控系统预算科目明细表!G:G,1,0)</f>
        <v>SA41</v>
      </c>
      <c r="F93" s="72" t="s">
        <v>98</v>
      </c>
    </row>
    <row r="94" spans="1:6" ht="18.399999999999999" x14ac:dyDescent="0.3">
      <c r="A94" s="72" t="s">
        <v>131</v>
      </c>
      <c r="B94" s="71" t="s">
        <v>915</v>
      </c>
      <c r="C94" s="71" t="s">
        <v>1015</v>
      </c>
      <c r="D94" t="str">
        <f>VLOOKUP(C94,费控系统预算科目明细表!G:G,1,0)</f>
        <v>SA55</v>
      </c>
      <c r="F94" s="72" t="s">
        <v>131</v>
      </c>
    </row>
    <row r="95" spans="1:6" ht="18.399999999999999" x14ac:dyDescent="0.3">
      <c r="A95" s="72" t="s">
        <v>95</v>
      </c>
      <c r="B95" s="71" t="s">
        <v>915</v>
      </c>
      <c r="C95" s="71" t="s">
        <v>1016</v>
      </c>
      <c r="D95" t="str">
        <f>VLOOKUP(C95,费控系统预算科目明细表!G:G,1,0)</f>
        <v>SA40</v>
      </c>
      <c r="F95" s="72" t="s">
        <v>95</v>
      </c>
    </row>
    <row r="96" spans="1:6" ht="18.399999999999999" x14ac:dyDescent="0.3">
      <c r="A96" s="72" t="s">
        <v>119</v>
      </c>
      <c r="B96" s="71" t="s">
        <v>915</v>
      </c>
      <c r="C96" s="71" t="s">
        <v>1017</v>
      </c>
      <c r="D96" t="str">
        <f>VLOOKUP(C96,费控系统预算科目明细表!G:G,1,0)</f>
        <v>SA49</v>
      </c>
      <c r="F96" s="72" t="s">
        <v>119</v>
      </c>
    </row>
    <row r="97" spans="1:6" ht="18.399999999999999" x14ac:dyDescent="0.3">
      <c r="A97" s="72" t="s">
        <v>122</v>
      </c>
      <c r="B97" s="71" t="s">
        <v>915</v>
      </c>
      <c r="C97" s="71" t="s">
        <v>1018</v>
      </c>
      <c r="D97" t="str">
        <f>VLOOKUP(C97,费控系统预算科目明细表!G:G,1,0)</f>
        <v>SA52</v>
      </c>
      <c r="F97" s="72" t="s">
        <v>122</v>
      </c>
    </row>
    <row r="98" spans="1:6" ht="18.399999999999999" x14ac:dyDescent="0.3">
      <c r="A98" s="72" t="s">
        <v>113</v>
      </c>
      <c r="B98" s="71" t="s">
        <v>915</v>
      </c>
      <c r="C98" s="71" t="s">
        <v>1019</v>
      </c>
      <c r="D98" t="str">
        <f>VLOOKUP(C98,费控系统预算科目明细表!G:G,1,0)</f>
        <v>SA47</v>
      </c>
      <c r="F98" s="72" t="s">
        <v>113</v>
      </c>
    </row>
    <row r="99" spans="1:6" ht="18.399999999999999" x14ac:dyDescent="0.3">
      <c r="A99" s="72" t="s">
        <v>116</v>
      </c>
      <c r="B99" s="71" t="s">
        <v>915</v>
      </c>
      <c r="C99" s="71" t="s">
        <v>1020</v>
      </c>
      <c r="D99" t="str">
        <f>VLOOKUP(C99,费控系统预算科目明细表!G:G,1,0)</f>
        <v>SA48</v>
      </c>
      <c r="F99" s="72" t="s">
        <v>116</v>
      </c>
    </row>
    <row r="100" spans="1:6" ht="18.399999999999999" x14ac:dyDescent="0.3">
      <c r="A100" s="72" t="s">
        <v>120</v>
      </c>
      <c r="B100" s="71" t="s">
        <v>915</v>
      </c>
      <c r="C100" s="71" t="s">
        <v>1021</v>
      </c>
      <c r="D100" t="str">
        <f>VLOOKUP(C100,费控系统预算科目明细表!G:G,1,0)</f>
        <v>SA50</v>
      </c>
      <c r="F100" s="72" t="s">
        <v>120</v>
      </c>
    </row>
    <row r="101" spans="1:6" ht="18.399999999999999" x14ac:dyDescent="0.3">
      <c r="A101" s="72" t="s">
        <v>121</v>
      </c>
      <c r="B101" s="71" t="s">
        <v>915</v>
      </c>
      <c r="C101" s="71" t="s">
        <v>1022</v>
      </c>
      <c r="D101" t="str">
        <f>VLOOKUP(C101,费控系统预算科目明细表!G:G,1,0)</f>
        <v>SA51</v>
      </c>
      <c r="F101" s="72" t="s">
        <v>121</v>
      </c>
    </row>
    <row r="102" spans="1:6" ht="18.399999999999999" x14ac:dyDescent="0.3">
      <c r="A102" s="72" t="s">
        <v>124</v>
      </c>
      <c r="B102" s="71" t="s">
        <v>915</v>
      </c>
      <c r="C102" s="71" t="s">
        <v>1023</v>
      </c>
      <c r="D102" t="str">
        <f>VLOOKUP(C102,费控系统预算科目明细表!G:G,1,0)</f>
        <v>SA53</v>
      </c>
      <c r="F102" s="72" t="s">
        <v>124</v>
      </c>
    </row>
    <row r="103" spans="1:6" ht="18.399999999999999" x14ac:dyDescent="0.3">
      <c r="A103" s="72" t="s">
        <v>135</v>
      </c>
      <c r="B103" s="71" t="s">
        <v>915</v>
      </c>
      <c r="C103" s="71" t="s">
        <v>1024</v>
      </c>
      <c r="D103" t="str">
        <f>VLOOKUP(C103,费控系统预算科目明细表!G:G,1,0)</f>
        <v>SA56</v>
      </c>
      <c r="F103" s="72" t="s">
        <v>135</v>
      </c>
    </row>
    <row r="104" spans="1:6" ht="18.399999999999999" x14ac:dyDescent="0.3">
      <c r="A104" s="72" t="s">
        <v>151</v>
      </c>
      <c r="B104" s="71" t="s">
        <v>915</v>
      </c>
      <c r="C104" s="71" t="s">
        <v>1025</v>
      </c>
      <c r="D104" t="str">
        <f>VLOOKUP(C104,费控系统预算科目明细表!G:G,1,0)</f>
        <v>ZY68</v>
      </c>
      <c r="F104" s="72" t="s">
        <v>151</v>
      </c>
    </row>
    <row r="105" spans="1:6" ht="18.399999999999999" x14ac:dyDescent="0.3">
      <c r="A105" s="72" t="s">
        <v>152</v>
      </c>
      <c r="B105" s="71" t="s">
        <v>915</v>
      </c>
      <c r="C105" s="71" t="s">
        <v>1026</v>
      </c>
      <c r="D105" t="str">
        <f>VLOOKUP(C105,费控系统预算科目明细表!G:G,1,0)</f>
        <v>SA60</v>
      </c>
      <c r="F105" s="72" t="s">
        <v>152</v>
      </c>
    </row>
    <row r="106" spans="1:6" ht="18.399999999999999" x14ac:dyDescent="0.3">
      <c r="A106" s="72" t="s">
        <v>143</v>
      </c>
      <c r="B106" s="71" t="s">
        <v>915</v>
      </c>
      <c r="C106" s="71" t="s">
        <v>1027</v>
      </c>
      <c r="D106" t="str">
        <f>VLOOKUP(C106,费控系统预算科目明细表!G:G,1,0)</f>
        <v>ZY65</v>
      </c>
      <c r="F106" s="72" t="s">
        <v>143</v>
      </c>
    </row>
    <row r="107" spans="1:6" ht="18.399999999999999" x14ac:dyDescent="0.3">
      <c r="A107" s="72" t="s">
        <v>149</v>
      </c>
      <c r="B107" s="71" t="s">
        <v>915</v>
      </c>
      <c r="C107" s="71" t="s">
        <v>1028</v>
      </c>
      <c r="D107" t="str">
        <f>VLOOKUP(C107,费控系统预算科目明细表!G:G,1,0)</f>
        <v>ZY67</v>
      </c>
      <c r="F107" s="72" t="s">
        <v>149</v>
      </c>
    </row>
    <row r="108" spans="1:6" ht="18.399999999999999" x14ac:dyDescent="0.3">
      <c r="A108" s="72" t="s">
        <v>164</v>
      </c>
      <c r="B108" s="71" t="s">
        <v>915</v>
      </c>
      <c r="C108" s="71" t="s">
        <v>1029</v>
      </c>
      <c r="D108" t="str">
        <f>VLOOKUP(C108,费控系统预算科目明细表!G:G,1,0)</f>
        <v>ZY62</v>
      </c>
      <c r="F108" s="72" t="s">
        <v>164</v>
      </c>
    </row>
    <row r="109" spans="1:6" ht="18.399999999999999" x14ac:dyDescent="0.3">
      <c r="A109" s="72" t="s">
        <v>168</v>
      </c>
      <c r="B109" s="71" t="s">
        <v>915</v>
      </c>
      <c r="C109" s="71" t="s">
        <v>1030</v>
      </c>
      <c r="D109" t="str">
        <f>VLOOKUP(C109,费控系统预算科目明细表!G:G,1,0)</f>
        <v>ZY64</v>
      </c>
      <c r="F109" s="72" t="s">
        <v>168</v>
      </c>
    </row>
    <row r="110" spans="1:6" ht="18.399999999999999" x14ac:dyDescent="0.3">
      <c r="A110" s="72" t="s">
        <v>156</v>
      </c>
      <c r="B110" s="71" t="s">
        <v>915</v>
      </c>
      <c r="C110" s="71" t="s">
        <v>1031</v>
      </c>
      <c r="D110" t="str">
        <f>VLOOKUP(C110,费控系统预算科目明细表!G:G,1,0)</f>
        <v>SA62</v>
      </c>
      <c r="F110" s="72" t="s">
        <v>156</v>
      </c>
    </row>
    <row r="111" spans="1:6" ht="18.399999999999999" x14ac:dyDescent="0.3">
      <c r="A111" s="72" t="s">
        <v>166</v>
      </c>
      <c r="B111" s="71" t="s">
        <v>915</v>
      </c>
      <c r="C111" s="71" t="s">
        <v>1032</v>
      </c>
      <c r="D111" t="str">
        <f>VLOOKUP(C111,费控系统预算科目明细表!G:G,1,0)</f>
        <v>ZY63</v>
      </c>
      <c r="F111" s="72" t="s">
        <v>166</v>
      </c>
    </row>
    <row r="112" spans="1:6" ht="18.399999999999999" x14ac:dyDescent="0.3">
      <c r="A112" s="72" t="s">
        <v>139</v>
      </c>
      <c r="B112" s="71" t="s">
        <v>915</v>
      </c>
      <c r="C112" s="71" t="s">
        <v>1033</v>
      </c>
      <c r="D112" t="str">
        <f>VLOOKUP(C112,费控系统预算科目明细表!G:G,1,0)</f>
        <v>SA57</v>
      </c>
      <c r="F112" s="72" t="s">
        <v>139</v>
      </c>
    </row>
    <row r="113" spans="1:6" ht="18.399999999999999" x14ac:dyDescent="0.3">
      <c r="A113" s="72" t="s">
        <v>175</v>
      </c>
      <c r="B113" s="71" t="s">
        <v>915</v>
      </c>
      <c r="C113" s="71" t="s">
        <v>1034</v>
      </c>
      <c r="D113" t="str">
        <f>VLOOKUP(C113,费控系统预算科目明细表!G:G,1,0)</f>
        <v>SA63</v>
      </c>
      <c r="F113" s="72" t="s">
        <v>175</v>
      </c>
    </row>
    <row r="114" spans="1:6" ht="18.399999999999999" x14ac:dyDescent="0.3">
      <c r="A114" s="72" t="s">
        <v>146</v>
      </c>
      <c r="B114" s="71" t="s">
        <v>915</v>
      </c>
      <c r="C114" s="71" t="s">
        <v>1035</v>
      </c>
      <c r="D114" t="str">
        <f>VLOOKUP(C114,费控系统预算科目明细表!G:G,1,0)</f>
        <v>ZY66</v>
      </c>
      <c r="F114" s="72" t="s">
        <v>146</v>
      </c>
    </row>
    <row r="115" spans="1:6" ht="18.399999999999999" x14ac:dyDescent="0.3">
      <c r="A115" s="72" t="s">
        <v>158</v>
      </c>
      <c r="B115" s="71" t="s">
        <v>915</v>
      </c>
      <c r="C115" s="71" t="s">
        <v>1036</v>
      </c>
      <c r="D115" t="str">
        <f>VLOOKUP(C115,费控系统预算科目明细表!G:G,1,0)</f>
        <v>ZY70</v>
      </c>
      <c r="F115" s="72" t="s">
        <v>158</v>
      </c>
    </row>
    <row r="116" spans="1:6" ht="18.399999999999999" x14ac:dyDescent="0.3">
      <c r="A116" s="72" t="s">
        <v>199</v>
      </c>
      <c r="B116" s="71" t="s">
        <v>915</v>
      </c>
      <c r="C116" s="71" t="s">
        <v>1037</v>
      </c>
      <c r="D116" t="str">
        <f>VLOOKUP(C116,费控系统预算科目明细表!G:G,1,0)</f>
        <v>SA77</v>
      </c>
      <c r="F116" s="72" t="s">
        <v>199</v>
      </c>
    </row>
    <row r="117" spans="1:6" ht="18.399999999999999" x14ac:dyDescent="0.3">
      <c r="A117" s="72" t="s">
        <v>171</v>
      </c>
      <c r="B117" s="71" t="s">
        <v>915</v>
      </c>
      <c r="C117" s="71" t="s">
        <v>1038</v>
      </c>
      <c r="D117" t="str">
        <f>VLOOKUP(C117,费控系统预算科目明细表!G:G,1,0)</f>
        <v>ZY55</v>
      </c>
      <c r="F117" s="72" t="s">
        <v>171</v>
      </c>
    </row>
    <row r="118" spans="1:6" ht="18.399999999999999" x14ac:dyDescent="0.3">
      <c r="A118" s="72" t="s">
        <v>161</v>
      </c>
      <c r="B118" s="71" t="s">
        <v>915</v>
      </c>
      <c r="C118" s="71" t="s">
        <v>1039</v>
      </c>
      <c r="D118" t="str">
        <f>VLOOKUP(C118,费控系统预算科目明细表!G:G,1,0)</f>
        <v>ZY72</v>
      </c>
      <c r="F118" s="72" t="s">
        <v>161</v>
      </c>
    </row>
    <row r="119" spans="1:6" ht="18.399999999999999" x14ac:dyDescent="0.3">
      <c r="A119" s="72" t="s">
        <v>144</v>
      </c>
      <c r="B119" s="71" t="s">
        <v>915</v>
      </c>
      <c r="C119" s="71" t="s">
        <v>1040</v>
      </c>
      <c r="D119" t="str">
        <f>VLOOKUP(C119,费控系统预算科目明细表!G:G,1,0)</f>
        <v>SA58</v>
      </c>
      <c r="F119" s="72" t="s">
        <v>144</v>
      </c>
    </row>
    <row r="120" spans="1:6" ht="18.399999999999999" x14ac:dyDescent="0.3">
      <c r="A120" s="72" t="s">
        <v>153</v>
      </c>
      <c r="B120" s="71" t="s">
        <v>915</v>
      </c>
      <c r="C120" s="71" t="s">
        <v>1041</v>
      </c>
      <c r="D120" t="str">
        <f>VLOOKUP(C120,费控系统预算科目明细表!G:G,1,0)</f>
        <v>SA61</v>
      </c>
      <c r="F120" s="72" t="s">
        <v>153</v>
      </c>
    </row>
    <row r="121" spans="1:6" ht="18.399999999999999" x14ac:dyDescent="0.3">
      <c r="A121" s="72" t="s">
        <v>229</v>
      </c>
      <c r="B121" s="71" t="s">
        <v>915</v>
      </c>
      <c r="C121" s="71" t="s">
        <v>1042</v>
      </c>
      <c r="D121" t="str">
        <f>VLOOKUP(C121,费控系统预算科目明细表!G:G,1,0)</f>
        <v>SA87</v>
      </c>
      <c r="F121" s="72" t="s">
        <v>229</v>
      </c>
    </row>
    <row r="122" spans="1:6" ht="18.399999999999999" x14ac:dyDescent="0.3">
      <c r="A122" s="72" t="s">
        <v>215</v>
      </c>
      <c r="B122" s="71" t="s">
        <v>915</v>
      </c>
      <c r="C122" s="71" t="s">
        <v>1043</v>
      </c>
      <c r="D122" t="str">
        <f>VLOOKUP(C122,费控系统预算科目明细表!G:G,1,0)</f>
        <v>SA82</v>
      </c>
      <c r="F122" s="72" t="s">
        <v>215</v>
      </c>
    </row>
    <row r="123" spans="1:6" ht="18.399999999999999" x14ac:dyDescent="0.3">
      <c r="A123" s="72" t="s">
        <v>218</v>
      </c>
      <c r="B123" s="71" t="s">
        <v>915</v>
      </c>
      <c r="C123" s="71" t="s">
        <v>1044</v>
      </c>
      <c r="D123" t="str">
        <f>VLOOKUP(C123,费控系统预算科目明细表!G:G,1,0)</f>
        <v>SA83</v>
      </c>
      <c r="F123" s="72" t="s">
        <v>218</v>
      </c>
    </row>
    <row r="124" spans="1:6" ht="18.399999999999999" x14ac:dyDescent="0.3">
      <c r="A124" s="72" t="s">
        <v>212</v>
      </c>
      <c r="B124" s="71" t="s">
        <v>915</v>
      </c>
      <c r="C124" s="71" t="s">
        <v>1045</v>
      </c>
      <c r="D124" t="str">
        <f>VLOOKUP(C124,费控系统预算科目明细表!G:G,1,0)</f>
        <v>SA81</v>
      </c>
      <c r="F124" s="72" t="s">
        <v>212</v>
      </c>
    </row>
    <row r="125" spans="1:6" ht="18.399999999999999" x14ac:dyDescent="0.3">
      <c r="A125" s="72" t="s">
        <v>256</v>
      </c>
      <c r="B125" s="71" t="s">
        <v>915</v>
      </c>
      <c r="C125" s="71" t="s">
        <v>1046</v>
      </c>
      <c r="D125" t="str">
        <f>VLOOKUP(C125,费控系统预算科目明细表!G:G,1,0)</f>
        <v>ZY74</v>
      </c>
      <c r="F125" s="72" t="s">
        <v>256</v>
      </c>
    </row>
    <row r="126" spans="1:6" ht="18.399999999999999" x14ac:dyDescent="0.3">
      <c r="A126" s="72" t="s">
        <v>206</v>
      </c>
      <c r="B126" s="71" t="s">
        <v>915</v>
      </c>
      <c r="C126" s="71" t="s">
        <v>1047</v>
      </c>
      <c r="D126" t="str">
        <f>VLOOKUP(C126,费控系统预算科目明细表!G:G,1,0)</f>
        <v>SA79</v>
      </c>
      <c r="F126" s="72" t="s">
        <v>206</v>
      </c>
    </row>
    <row r="127" spans="1:6" ht="18.399999999999999" x14ac:dyDescent="0.3">
      <c r="A127" s="72" t="s">
        <v>265</v>
      </c>
      <c r="B127" s="71" t="s">
        <v>915</v>
      </c>
      <c r="C127" s="71" t="s">
        <v>1048</v>
      </c>
      <c r="D127" t="str">
        <f>VLOOKUP(C127,费控系统预算科目明细表!G:G,1,0)</f>
        <v>ZY83</v>
      </c>
      <c r="F127" s="72" t="s">
        <v>265</v>
      </c>
    </row>
    <row r="128" spans="1:6" ht="18.399999999999999" x14ac:dyDescent="0.3">
      <c r="A128" s="72" t="s">
        <v>145</v>
      </c>
      <c r="B128" s="71" t="s">
        <v>915</v>
      </c>
      <c r="C128" s="71" t="s">
        <v>1049</v>
      </c>
      <c r="D128" t="str">
        <f>VLOOKUP(C128,费控系统预算科目明细表!G:G,1,0)</f>
        <v>SA59</v>
      </c>
      <c r="F128" s="72" t="s">
        <v>145</v>
      </c>
    </row>
    <row r="129" spans="1:6" ht="18.399999999999999" x14ac:dyDescent="0.3">
      <c r="A129" s="72" t="s">
        <v>236</v>
      </c>
      <c r="B129" s="71" t="s">
        <v>915</v>
      </c>
      <c r="C129" s="71" t="s">
        <v>1050</v>
      </c>
      <c r="D129" t="str">
        <f>VLOOKUP(C129,费控系统预算科目明细表!G:G,1,0)</f>
        <v>SA91</v>
      </c>
      <c r="F129" s="72" t="s">
        <v>236</v>
      </c>
    </row>
    <row r="130" spans="1:6" ht="18.399999999999999" x14ac:dyDescent="0.3">
      <c r="A130" s="72" t="s">
        <v>259</v>
      </c>
      <c r="B130" s="71" t="s">
        <v>915</v>
      </c>
      <c r="C130" s="71" t="s">
        <v>1051</v>
      </c>
      <c r="D130" t="str">
        <f>VLOOKUP(C130,费控系统预算科目明细表!G:G,1,0)</f>
        <v>ZY79</v>
      </c>
      <c r="F130" s="72" t="s">
        <v>259</v>
      </c>
    </row>
    <row r="131" spans="1:6" ht="18.399999999999999" x14ac:dyDescent="0.3">
      <c r="A131" s="72" t="s">
        <v>220</v>
      </c>
      <c r="B131" s="71" t="s">
        <v>915</v>
      </c>
      <c r="C131" s="71" t="s">
        <v>1052</v>
      </c>
      <c r="D131" t="str">
        <f>VLOOKUP(C131,费控系统预算科目明细表!G:G,1,0)</f>
        <v>SA84</v>
      </c>
      <c r="F131" s="72" t="s">
        <v>220</v>
      </c>
    </row>
    <row r="132" spans="1:6" ht="18.399999999999999" x14ac:dyDescent="0.3">
      <c r="A132" s="72" t="s">
        <v>226</v>
      </c>
      <c r="B132" s="71" t="s">
        <v>915</v>
      </c>
      <c r="C132" s="71" t="s">
        <v>1053</v>
      </c>
      <c r="D132" t="str">
        <f>VLOOKUP(C132,费控系统预算科目明细表!G:G,1,0)</f>
        <v>SA86</v>
      </c>
      <c r="F132" s="72" t="s">
        <v>226</v>
      </c>
    </row>
    <row r="133" spans="1:6" ht="18.399999999999999" x14ac:dyDescent="0.3">
      <c r="A133" s="72" t="s">
        <v>209</v>
      </c>
      <c r="B133" s="71" t="s">
        <v>915</v>
      </c>
      <c r="C133" s="71" t="s">
        <v>1054</v>
      </c>
      <c r="D133" t="str">
        <f>VLOOKUP(C133,费控系统预算科目明细表!G:G,1,0)</f>
        <v>SA80</v>
      </c>
      <c r="F133" s="72" t="s">
        <v>209</v>
      </c>
    </row>
    <row r="134" spans="1:6" ht="18.399999999999999" x14ac:dyDescent="0.3">
      <c r="A134" s="72" t="s">
        <v>203</v>
      </c>
      <c r="B134" s="71" t="s">
        <v>915</v>
      </c>
      <c r="C134" s="71" t="s">
        <v>1055</v>
      </c>
      <c r="D134" t="str">
        <f>VLOOKUP(C134,费控系统预算科目明细表!G:G,1,0)</f>
        <v>SA78</v>
      </c>
      <c r="F134" s="72" t="s">
        <v>203</v>
      </c>
    </row>
    <row r="135" spans="1:6" ht="18.399999999999999" x14ac:dyDescent="0.3">
      <c r="A135" s="72" t="s">
        <v>245</v>
      </c>
      <c r="B135" s="71" t="s">
        <v>915</v>
      </c>
      <c r="C135" s="71" t="s">
        <v>1056</v>
      </c>
      <c r="D135" t="str">
        <f>VLOOKUP(C135,费控系统预算科目明细表!G:G,1,0)</f>
        <v>SA99</v>
      </c>
      <c r="F135" s="72" t="s">
        <v>245</v>
      </c>
    </row>
    <row r="136" spans="1:6" ht="18.399999999999999" x14ac:dyDescent="0.3">
      <c r="A136" s="72" t="s">
        <v>260</v>
      </c>
      <c r="B136" s="71" t="s">
        <v>915</v>
      </c>
      <c r="C136" s="71" t="s">
        <v>1057</v>
      </c>
      <c r="D136" t="str">
        <f>VLOOKUP(C136,费控系统预算科目明细表!G:G,1,0)</f>
        <v>ZY80</v>
      </c>
      <c r="F136" s="72" t="s">
        <v>260</v>
      </c>
    </row>
    <row r="137" spans="1:6" ht="18.399999999999999" x14ac:dyDescent="0.3">
      <c r="A137" s="72" t="s">
        <v>237</v>
      </c>
      <c r="B137" s="71" t="s">
        <v>915</v>
      </c>
      <c r="C137" s="71" t="s">
        <v>1058</v>
      </c>
      <c r="D137" t="str">
        <f>VLOOKUP(C137,费控系统预算科目明细表!G:G,1,0)</f>
        <v>SA92</v>
      </c>
      <c r="F137" s="72" t="s">
        <v>237</v>
      </c>
    </row>
    <row r="138" spans="1:6" ht="18.399999999999999" x14ac:dyDescent="0.3">
      <c r="A138" s="72" t="s">
        <v>239</v>
      </c>
      <c r="B138" s="71" t="s">
        <v>915</v>
      </c>
      <c r="C138" s="71" t="s">
        <v>1059</v>
      </c>
      <c r="D138" t="str">
        <f>VLOOKUP(C138,费控系统预算科目明细表!G:G,1,0)</f>
        <v>SA94</v>
      </c>
      <c r="F138" s="72" t="s">
        <v>239</v>
      </c>
    </row>
    <row r="139" spans="1:6" ht="18.399999999999999" x14ac:dyDescent="0.3">
      <c r="A139" s="72" t="s">
        <v>258</v>
      </c>
      <c r="B139" s="71" t="s">
        <v>915</v>
      </c>
      <c r="C139" s="71" t="s">
        <v>1060</v>
      </c>
      <c r="D139" t="str">
        <f>VLOOKUP(C139,费控系统预算科目明细表!G:G,1,0)</f>
        <v>ZY75</v>
      </c>
      <c r="F139" s="72" t="s">
        <v>258</v>
      </c>
    </row>
    <row r="140" spans="1:6" ht="18.399999999999999" x14ac:dyDescent="0.3">
      <c r="A140" s="72" t="s">
        <v>254</v>
      </c>
      <c r="B140" s="71" t="s">
        <v>915</v>
      </c>
      <c r="C140" s="71" t="s">
        <v>1061</v>
      </c>
      <c r="D140" t="str">
        <f>VLOOKUP(C140,费控系统预算科目明细表!G:G,1,0)</f>
        <v>ZY73</v>
      </c>
      <c r="F140" s="72" t="s">
        <v>254</v>
      </c>
    </row>
    <row r="141" spans="1:6" ht="18.399999999999999" x14ac:dyDescent="0.3">
      <c r="A141" s="72" t="s">
        <v>234</v>
      </c>
      <c r="B141" s="71" t="s">
        <v>915</v>
      </c>
      <c r="C141" s="71" t="s">
        <v>1062</v>
      </c>
      <c r="D141" t="str">
        <f>VLOOKUP(C141,费控系统预算科目明细表!G:G,1,0)</f>
        <v>SA89</v>
      </c>
      <c r="F141" s="72" t="s">
        <v>234</v>
      </c>
    </row>
    <row r="142" spans="1:6" ht="18.399999999999999" x14ac:dyDescent="0.3">
      <c r="A142" s="72" t="s">
        <v>235</v>
      </c>
      <c r="B142" s="71" t="s">
        <v>915</v>
      </c>
      <c r="C142" s="71" t="s">
        <v>1063</v>
      </c>
      <c r="D142" t="str">
        <f>VLOOKUP(C142,费控系统预算科目明细表!G:G,1,0)</f>
        <v>SA90</v>
      </c>
      <c r="F142" s="72" t="s">
        <v>235</v>
      </c>
    </row>
    <row r="143" spans="1:6" ht="18.399999999999999" x14ac:dyDescent="0.3">
      <c r="A143" s="72" t="s">
        <v>261</v>
      </c>
      <c r="B143" s="71" t="s">
        <v>915</v>
      </c>
      <c r="C143" s="71" t="s">
        <v>1064</v>
      </c>
      <c r="D143" t="str">
        <f>VLOOKUP(C143,费控系统预算科目明细表!G:G,1,0)</f>
        <v>ZY81</v>
      </c>
      <c r="F143" s="72" t="s">
        <v>261</v>
      </c>
    </row>
    <row r="144" spans="1:6" ht="18.399999999999999" x14ac:dyDescent="0.3">
      <c r="A144" s="72" t="s">
        <v>223</v>
      </c>
      <c r="B144" s="71" t="s">
        <v>915</v>
      </c>
      <c r="C144" s="71" t="s">
        <v>1065</v>
      </c>
      <c r="D144" t="str">
        <f>VLOOKUP(C144,费控系统预算科目明细表!G:G,1,0)</f>
        <v>SA85</v>
      </c>
      <c r="F144" s="72" t="s">
        <v>223</v>
      </c>
    </row>
    <row r="145" spans="1:6" ht="18.399999999999999" x14ac:dyDescent="0.3">
      <c r="A145" s="72" t="s">
        <v>262</v>
      </c>
      <c r="B145" s="71" t="s">
        <v>915</v>
      </c>
      <c r="C145" s="71" t="s">
        <v>1066</v>
      </c>
      <c r="D145" t="str">
        <f>VLOOKUP(C145,费控系统预算科目明细表!G:G,1,0)</f>
        <v>ZY82</v>
      </c>
      <c r="F145" s="72" t="s">
        <v>262</v>
      </c>
    </row>
    <row r="146" spans="1:6" ht="18.399999999999999" x14ac:dyDescent="0.3">
      <c r="A146" s="72" t="s">
        <v>240</v>
      </c>
      <c r="B146" s="71" t="s">
        <v>915</v>
      </c>
      <c r="C146" s="71" t="s">
        <v>1067</v>
      </c>
      <c r="D146" t="str">
        <f>VLOOKUP(C146,费控系统预算科目明细表!G:G,1,0)</f>
        <v>SA95</v>
      </c>
      <c r="F146" s="72" t="s">
        <v>240</v>
      </c>
    </row>
    <row r="147" spans="1:6" ht="18.399999999999999" x14ac:dyDescent="0.3">
      <c r="A147" s="72" t="s">
        <v>232</v>
      </c>
      <c r="B147" s="71" t="s">
        <v>915</v>
      </c>
      <c r="C147" s="71" t="s">
        <v>1068</v>
      </c>
      <c r="D147" t="str">
        <f>VLOOKUP(C147,费控系统预算科目明细表!G:G,1,0)</f>
        <v>SA88</v>
      </c>
      <c r="F147" s="72" t="s">
        <v>232</v>
      </c>
    </row>
    <row r="148" spans="1:6" ht="18.399999999999999" x14ac:dyDescent="0.3">
      <c r="A148" s="72" t="s">
        <v>263</v>
      </c>
      <c r="B148" s="71" t="s">
        <v>915</v>
      </c>
      <c r="C148" s="71" t="s">
        <v>1069</v>
      </c>
      <c r="D148" t="str">
        <f>VLOOKUP(C148,费控系统预算科目明细表!G:G,1,0)</f>
        <v>ZY57</v>
      </c>
      <c r="F148" s="72" t="s">
        <v>263</v>
      </c>
    </row>
    <row r="149" spans="1:6" ht="18.399999999999999" x14ac:dyDescent="0.3">
      <c r="A149" s="72" t="s">
        <v>238</v>
      </c>
      <c r="B149" s="71" t="s">
        <v>915</v>
      </c>
      <c r="C149" s="71" t="s">
        <v>1070</v>
      </c>
      <c r="D149" t="str">
        <f>VLOOKUP(C149,费控系统预算科目明细表!G:G,1,0)</f>
        <v>SA93</v>
      </c>
      <c r="F149" s="72" t="s">
        <v>238</v>
      </c>
    </row>
    <row r="150" spans="1:6" ht="18.399999999999999" x14ac:dyDescent="0.3">
      <c r="A150" s="72" t="s">
        <v>248</v>
      </c>
      <c r="B150" s="71" t="s">
        <v>915</v>
      </c>
      <c r="C150" s="71" t="s">
        <v>1071</v>
      </c>
      <c r="D150" t="str">
        <f>VLOOKUP(C150,费控系统预算科目明细表!G:G,1,0)</f>
        <v>SA103</v>
      </c>
      <c r="F150" s="72" t="s">
        <v>248</v>
      </c>
    </row>
    <row r="151" spans="1:6" ht="18.399999999999999" x14ac:dyDescent="0.3">
      <c r="A151" s="72" t="s">
        <v>255</v>
      </c>
      <c r="B151" s="71" t="s">
        <v>915</v>
      </c>
      <c r="C151" s="71" t="s">
        <v>1072</v>
      </c>
      <c r="D151" t="str">
        <f>VLOOKUP(C151,费控系统预算科目明细表!G:G,1,0)</f>
        <v>ZY77</v>
      </c>
      <c r="F151" s="72" t="s">
        <v>255</v>
      </c>
    </row>
    <row r="152" spans="1:6" ht="18.399999999999999" x14ac:dyDescent="0.3">
      <c r="A152" s="72" t="s">
        <v>241</v>
      </c>
      <c r="B152" s="71" t="s">
        <v>915</v>
      </c>
      <c r="C152" s="71" t="s">
        <v>1073</v>
      </c>
      <c r="D152" t="str">
        <f>VLOOKUP(C152,费控系统预算科目明细表!G:G,1,0)</f>
        <v>SA96</v>
      </c>
      <c r="F152" s="72" t="s">
        <v>241</v>
      </c>
    </row>
    <row r="153" spans="1:6" ht="18.399999999999999" x14ac:dyDescent="0.3">
      <c r="A153" s="72" t="s">
        <v>252</v>
      </c>
      <c r="B153" s="71" t="s">
        <v>915</v>
      </c>
      <c r="C153" s="71" t="s">
        <v>1074</v>
      </c>
      <c r="D153" t="str">
        <f>VLOOKUP(C153,费控系统预算科目明细表!G:G,1,0)</f>
        <v>ZY76</v>
      </c>
      <c r="F153" s="72" t="s">
        <v>252</v>
      </c>
    </row>
    <row r="154" spans="1:6" ht="18.399999999999999" x14ac:dyDescent="0.3">
      <c r="A154" s="72" t="s">
        <v>242</v>
      </c>
      <c r="B154" s="71" t="s">
        <v>915</v>
      </c>
      <c r="C154" s="71" t="s">
        <v>1075</v>
      </c>
      <c r="D154" t="str">
        <f>VLOOKUP(C154,费控系统预算科目明细表!G:G,1,0)</f>
        <v>SA97</v>
      </c>
      <c r="F154" s="72" t="s">
        <v>242</v>
      </c>
    </row>
    <row r="155" spans="1:6" ht="18.399999999999999" x14ac:dyDescent="0.3">
      <c r="A155" s="72" t="s">
        <v>155</v>
      </c>
      <c r="B155" s="71" t="s">
        <v>915</v>
      </c>
      <c r="C155" s="71" t="s">
        <v>1076</v>
      </c>
      <c r="D155" t="str">
        <f>VLOOKUP(C155,费控系统预算科目明细表!G:G,1,0)</f>
        <v>SA187</v>
      </c>
      <c r="F155" s="72" t="s">
        <v>155</v>
      </c>
    </row>
    <row r="156" spans="1:6" ht="18.399999999999999" x14ac:dyDescent="0.3">
      <c r="A156" s="72" t="s">
        <v>257</v>
      </c>
      <c r="B156" s="71" t="s">
        <v>915</v>
      </c>
      <c r="C156" s="71" t="s">
        <v>1077</v>
      </c>
      <c r="D156" t="str">
        <f>VLOOKUP(C156,费控系统预算科目明细表!G:G,1,0)</f>
        <v>ZY78</v>
      </c>
      <c r="F156" s="72" t="s">
        <v>257</v>
      </c>
    </row>
    <row r="157" spans="1:6" ht="18.399999999999999" x14ac:dyDescent="0.3">
      <c r="A157" s="72" t="s">
        <v>1078</v>
      </c>
      <c r="B157" s="71" t="s">
        <v>915</v>
      </c>
      <c r="C157" s="71" t="s">
        <v>915</v>
      </c>
      <c r="D157" t="e">
        <f>VLOOKUP(C157,费控系统预算科目明细表!G:G,1,0)</f>
        <v>#N/A</v>
      </c>
      <c r="F157" s="72" t="s">
        <v>1078</v>
      </c>
    </row>
    <row r="158" spans="1:6" ht="18.399999999999999" x14ac:dyDescent="0.3">
      <c r="A158" s="72" t="s">
        <v>1079</v>
      </c>
      <c r="B158" s="71" t="s">
        <v>915</v>
      </c>
      <c r="C158" s="71" t="s">
        <v>915</v>
      </c>
      <c r="D158" t="e">
        <f>VLOOKUP(C158,费控系统预算科目明细表!G:G,1,0)</f>
        <v>#N/A</v>
      </c>
      <c r="F158" s="72" t="s">
        <v>1079</v>
      </c>
    </row>
    <row r="159" spans="1:6" ht="18.399999999999999" x14ac:dyDescent="0.3">
      <c r="A159" s="72" t="s">
        <v>268</v>
      </c>
      <c r="B159" s="71" t="s">
        <v>915</v>
      </c>
      <c r="C159" s="71" t="s">
        <v>1080</v>
      </c>
      <c r="D159" t="str">
        <f>VLOOKUP(C159,费控系统预算科目明细表!G:G,1,0)</f>
        <v>ZY122</v>
      </c>
      <c r="F159" s="72" t="s">
        <v>268</v>
      </c>
    </row>
    <row r="160" spans="1:6" ht="18.399999999999999" x14ac:dyDescent="0.3">
      <c r="A160" s="72" t="s">
        <v>295</v>
      </c>
      <c r="B160" s="71" t="s">
        <v>915</v>
      </c>
      <c r="C160" s="71" t="s">
        <v>1081</v>
      </c>
      <c r="D160" t="str">
        <f>VLOOKUP(C160,费控系统预算科目明细表!G:G,1,0)</f>
        <v>SA111</v>
      </c>
      <c r="F160" s="72" t="s">
        <v>295</v>
      </c>
    </row>
    <row r="161" spans="1:6" ht="18.399999999999999" x14ac:dyDescent="0.3">
      <c r="A161" s="72" t="s">
        <v>297</v>
      </c>
      <c r="B161" s="71" t="s">
        <v>915</v>
      </c>
      <c r="C161" s="71" t="s">
        <v>1082</v>
      </c>
      <c r="D161" t="str">
        <f>VLOOKUP(C161,费控系统预算科目明细表!G:G,1,0)</f>
        <v>SA113</v>
      </c>
      <c r="F161" s="72" t="s">
        <v>297</v>
      </c>
    </row>
    <row r="162" spans="1:6" ht="18.399999999999999" x14ac:dyDescent="0.3">
      <c r="A162" s="72" t="s">
        <v>293</v>
      </c>
      <c r="B162" s="71" t="s">
        <v>915</v>
      </c>
      <c r="C162" s="71" t="s">
        <v>1083</v>
      </c>
      <c r="D162" t="str">
        <f>VLOOKUP(C162,费控系统预算科目明细表!G:G,1,0)</f>
        <v>SA110</v>
      </c>
      <c r="F162" s="72" t="s">
        <v>293</v>
      </c>
    </row>
    <row r="163" spans="1:6" ht="18.399999999999999" x14ac:dyDescent="0.3">
      <c r="A163" s="72" t="s">
        <v>279</v>
      </c>
      <c r="B163" s="71" t="s">
        <v>915</v>
      </c>
      <c r="C163" s="71" t="s">
        <v>1084</v>
      </c>
      <c r="D163" t="str">
        <f>VLOOKUP(C163,费控系统预算科目明细表!G:G,1,0)</f>
        <v>SA104</v>
      </c>
      <c r="F163" s="72" t="s">
        <v>279</v>
      </c>
    </row>
    <row r="164" spans="1:6" ht="18.399999999999999" x14ac:dyDescent="0.3">
      <c r="A164" s="72" t="s">
        <v>272</v>
      </c>
      <c r="B164" s="71" t="s">
        <v>915</v>
      </c>
      <c r="C164" s="71" t="s">
        <v>1085</v>
      </c>
      <c r="D164" t="str">
        <f>VLOOKUP(C164,费控系统预算科目明细表!G:G,1,0)</f>
        <v>ZY123</v>
      </c>
      <c r="F164" s="72" t="s">
        <v>272</v>
      </c>
    </row>
    <row r="165" spans="1:6" ht="18.399999999999999" x14ac:dyDescent="0.3">
      <c r="A165" s="72" t="s">
        <v>318</v>
      </c>
      <c r="B165" s="71" t="s">
        <v>915</v>
      </c>
      <c r="C165" s="71" t="s">
        <v>1086</v>
      </c>
      <c r="D165" t="str">
        <f>VLOOKUP(C165,费控系统预算科目明细表!G:G,1,0)</f>
        <v>SA119</v>
      </c>
      <c r="F165" s="72" t="s">
        <v>318</v>
      </c>
    </row>
    <row r="166" spans="1:6" ht="18.399999999999999" x14ac:dyDescent="0.3">
      <c r="A166" s="72" t="s">
        <v>347</v>
      </c>
      <c r="B166" s="71" t="s">
        <v>915</v>
      </c>
      <c r="C166" s="71" t="s">
        <v>1087</v>
      </c>
      <c r="D166" t="str">
        <f>VLOOKUP(C166,费控系统预算科目明细表!G:G,1,0)</f>
        <v>ZY108</v>
      </c>
      <c r="F166" s="72" t="s">
        <v>347</v>
      </c>
    </row>
    <row r="167" spans="1:6" ht="18.399999999999999" x14ac:dyDescent="0.3">
      <c r="A167" s="72" t="s">
        <v>296</v>
      </c>
      <c r="B167" s="71" t="s">
        <v>915</v>
      </c>
      <c r="C167" s="71" t="s">
        <v>1088</v>
      </c>
      <c r="D167" t="str">
        <f>VLOOKUP(C167,费控系统预算科目明细表!G:G,1,0)</f>
        <v>SA112</v>
      </c>
      <c r="F167" s="72" t="s">
        <v>296</v>
      </c>
    </row>
    <row r="168" spans="1:6" ht="18.399999999999999" x14ac:dyDescent="0.3">
      <c r="A168" s="72" t="s">
        <v>310</v>
      </c>
      <c r="B168" s="71" t="s">
        <v>915</v>
      </c>
      <c r="C168" s="71" t="s">
        <v>1089</v>
      </c>
      <c r="D168" t="str">
        <f>VLOOKUP(C168,费控系统预算科目明细表!G:G,1,0)</f>
        <v>ZY130</v>
      </c>
      <c r="F168" s="72" t="s">
        <v>310</v>
      </c>
    </row>
    <row r="169" spans="1:6" ht="18.399999999999999" x14ac:dyDescent="0.3">
      <c r="A169" s="72" t="s">
        <v>307</v>
      </c>
      <c r="B169" s="71" t="s">
        <v>915</v>
      </c>
      <c r="C169" s="71" t="s">
        <v>1090</v>
      </c>
      <c r="D169" t="str">
        <f>VLOOKUP(C169,费控系统预算科目明细表!G:G,1,0)</f>
        <v>SA116</v>
      </c>
      <c r="F169" s="72" t="s">
        <v>307</v>
      </c>
    </row>
    <row r="170" spans="1:6" ht="18.399999999999999" x14ac:dyDescent="0.3">
      <c r="A170" s="72" t="s">
        <v>284</v>
      </c>
      <c r="B170" s="71" t="s">
        <v>915</v>
      </c>
      <c r="C170" s="71" t="s">
        <v>1091</v>
      </c>
      <c r="D170" t="str">
        <f>VLOOKUP(C170,费控系统预算科目明细表!G:G,1,0)</f>
        <v>SA107</v>
      </c>
      <c r="F170" s="72" t="s">
        <v>284</v>
      </c>
    </row>
    <row r="171" spans="1:6" ht="18.399999999999999" x14ac:dyDescent="0.3">
      <c r="A171" s="72" t="s">
        <v>303</v>
      </c>
      <c r="B171" s="71" t="s">
        <v>915</v>
      </c>
      <c r="C171" s="71" t="s">
        <v>1092</v>
      </c>
      <c r="D171" t="str">
        <f>VLOOKUP(C171,费控系统预算科目明细表!G:G,1,0)</f>
        <v>SA115</v>
      </c>
      <c r="F171" s="72" t="s">
        <v>303</v>
      </c>
    </row>
    <row r="172" spans="1:6" ht="18.399999999999999" x14ac:dyDescent="0.3">
      <c r="A172" s="72" t="s">
        <v>280</v>
      </c>
      <c r="B172" s="71" t="s">
        <v>915</v>
      </c>
      <c r="C172" s="71" t="s">
        <v>1093</v>
      </c>
      <c r="D172" t="str">
        <f>VLOOKUP(C172,费控系统预算科目明细表!G:G,1,0)</f>
        <v>SA105</v>
      </c>
      <c r="F172" s="72" t="s">
        <v>280</v>
      </c>
    </row>
    <row r="173" spans="1:6" ht="18.399999999999999" x14ac:dyDescent="0.3">
      <c r="A173" s="72" t="s">
        <v>290</v>
      </c>
      <c r="B173" s="71" t="s">
        <v>915</v>
      </c>
      <c r="C173" s="71" t="s">
        <v>1094</v>
      </c>
      <c r="D173" t="str">
        <f>VLOOKUP(C173,费控系统预算科目明细表!G:G,1,0)</f>
        <v>ZY10</v>
      </c>
      <c r="F173" s="72" t="s">
        <v>290</v>
      </c>
    </row>
    <row r="174" spans="1:6" ht="18.399999999999999" x14ac:dyDescent="0.3">
      <c r="A174" s="72" t="s">
        <v>350</v>
      </c>
      <c r="B174" s="71" t="s">
        <v>915</v>
      </c>
      <c r="C174" s="71" t="s">
        <v>1095</v>
      </c>
      <c r="D174" t="str">
        <f>VLOOKUP(C174,费控系统预算科目明细表!G:G,1,0)</f>
        <v>ZY07</v>
      </c>
      <c r="F174" s="72" t="s">
        <v>350</v>
      </c>
    </row>
    <row r="175" spans="1:6" ht="18.399999999999999" x14ac:dyDescent="0.3">
      <c r="A175" s="72" t="s">
        <v>351</v>
      </c>
      <c r="B175" s="71" t="s">
        <v>915</v>
      </c>
      <c r="C175" s="71" t="s">
        <v>1096</v>
      </c>
      <c r="D175" t="str">
        <f>VLOOKUP(C175,费控系统预算科目明细表!G:G,1,0)</f>
        <v>ZY109</v>
      </c>
      <c r="F175" s="72" t="s">
        <v>351</v>
      </c>
    </row>
    <row r="176" spans="1:6" ht="18.399999999999999" x14ac:dyDescent="0.3">
      <c r="A176" s="72" t="s">
        <v>315</v>
      </c>
      <c r="B176" s="71" t="s">
        <v>915</v>
      </c>
      <c r="C176" s="71" t="s">
        <v>1097</v>
      </c>
      <c r="D176" t="str">
        <f>VLOOKUP(C176,费控系统预算科目明细表!G:G,1,0)</f>
        <v>ZY118</v>
      </c>
      <c r="F176" s="72" t="s">
        <v>315</v>
      </c>
    </row>
    <row r="177" spans="1:6" ht="18.399999999999999" x14ac:dyDescent="0.3">
      <c r="A177" s="72" t="s">
        <v>288</v>
      </c>
      <c r="B177" s="71" t="s">
        <v>915</v>
      </c>
      <c r="C177" s="71" t="s">
        <v>1098</v>
      </c>
      <c r="D177" t="str">
        <f>VLOOKUP(C177,费控系统预算科目明细表!G:G,1,0)</f>
        <v>SA109</v>
      </c>
      <c r="F177" s="72" t="s">
        <v>288</v>
      </c>
    </row>
    <row r="178" spans="1:6" ht="18.399999999999999" x14ac:dyDescent="0.3">
      <c r="A178" s="72" t="s">
        <v>300</v>
      </c>
      <c r="B178" s="71" t="s">
        <v>915</v>
      </c>
      <c r="C178" s="71" t="s">
        <v>1099</v>
      </c>
      <c r="D178" t="str">
        <f>VLOOKUP(C178,费控系统预算科目明细表!G:G,1,0)</f>
        <v>SA114</v>
      </c>
      <c r="F178" s="72" t="s">
        <v>300</v>
      </c>
    </row>
    <row r="179" spans="1:6" ht="18.399999999999999" x14ac:dyDescent="0.3">
      <c r="A179" s="72" t="s">
        <v>311</v>
      </c>
      <c r="B179" s="71" t="s">
        <v>915</v>
      </c>
      <c r="C179" s="71" t="s">
        <v>1100</v>
      </c>
      <c r="D179" t="str">
        <f>VLOOKUP(C179,费控系统预算科目明细表!G:G,1,0)</f>
        <v>SA118</v>
      </c>
      <c r="F179" s="72" t="s">
        <v>311</v>
      </c>
    </row>
    <row r="180" spans="1:6" ht="18.399999999999999" x14ac:dyDescent="0.3">
      <c r="A180" s="72" t="s">
        <v>344</v>
      </c>
      <c r="B180" s="71" t="s">
        <v>915</v>
      </c>
      <c r="C180" s="71" t="s">
        <v>1101</v>
      </c>
      <c r="D180" t="str">
        <f>VLOOKUP(C180,费控系统预算科目明细表!G:G,1,0)</f>
        <v>SA122</v>
      </c>
      <c r="F180" s="72" t="s">
        <v>344</v>
      </c>
    </row>
    <row r="181" spans="1:6" ht="18.399999999999999" x14ac:dyDescent="0.3">
      <c r="A181" s="72" t="s">
        <v>363</v>
      </c>
      <c r="B181" s="71" t="s">
        <v>915</v>
      </c>
      <c r="C181" s="71" t="s">
        <v>1102</v>
      </c>
      <c r="D181" t="str">
        <f>VLOOKUP(C181,费控系统预算科目明细表!G:G,1,0)</f>
        <v>ZY60</v>
      </c>
      <c r="F181" s="72" t="s">
        <v>363</v>
      </c>
    </row>
    <row r="182" spans="1:6" ht="18.399999999999999" x14ac:dyDescent="0.3">
      <c r="A182" s="72" t="s">
        <v>309</v>
      </c>
      <c r="B182" s="71" t="s">
        <v>915</v>
      </c>
      <c r="C182" s="71" t="s">
        <v>1103</v>
      </c>
      <c r="D182" t="str">
        <f>VLOOKUP(C182,费控系统预算科目明细表!G:G,1,0)</f>
        <v>SA117</v>
      </c>
      <c r="F182" s="72" t="s">
        <v>309</v>
      </c>
    </row>
    <row r="183" spans="1:6" ht="18.399999999999999" x14ac:dyDescent="0.3">
      <c r="A183" s="72" t="s">
        <v>392</v>
      </c>
      <c r="B183" s="71" t="s">
        <v>915</v>
      </c>
      <c r="C183" s="71" t="s">
        <v>1104</v>
      </c>
      <c r="D183" t="str">
        <f>VLOOKUP(C183,费控系统预算科目明细表!G:G,1,0)</f>
        <v>ZY115</v>
      </c>
      <c r="F183" s="72" t="s">
        <v>392</v>
      </c>
    </row>
    <row r="184" spans="1:6" ht="18.399999999999999" x14ac:dyDescent="0.3">
      <c r="A184" s="72" t="s">
        <v>401</v>
      </c>
      <c r="B184" s="71" t="s">
        <v>915</v>
      </c>
      <c r="C184" s="71" t="s">
        <v>1105</v>
      </c>
      <c r="D184" t="str">
        <f>VLOOKUP(C184,费控系统预算科目明细表!G:G,1,0)</f>
        <v>SA133</v>
      </c>
      <c r="F184" s="72" t="s">
        <v>401</v>
      </c>
    </row>
    <row r="185" spans="1:6" ht="18.399999999999999" x14ac:dyDescent="0.3">
      <c r="A185" s="72" t="s">
        <v>398</v>
      </c>
      <c r="B185" s="71" t="s">
        <v>915</v>
      </c>
      <c r="C185" s="71" t="s">
        <v>1106</v>
      </c>
      <c r="D185" t="str">
        <f>VLOOKUP(C185,费控系统预算科目明细表!G:G,1,0)</f>
        <v>ZY119</v>
      </c>
      <c r="F185" s="72" t="s">
        <v>398</v>
      </c>
    </row>
    <row r="186" spans="1:6" ht="18.399999999999999" x14ac:dyDescent="0.3">
      <c r="A186" s="72" t="s">
        <v>354</v>
      </c>
      <c r="B186" s="71" t="s">
        <v>915</v>
      </c>
      <c r="C186" s="71" t="s">
        <v>1107</v>
      </c>
      <c r="D186" t="str">
        <f>VLOOKUP(C186,费控系统预算科目明细表!G:G,1,0)</f>
        <v>ZY110</v>
      </c>
      <c r="F186" s="72" t="s">
        <v>354</v>
      </c>
    </row>
    <row r="187" spans="1:6" ht="18.399999999999999" x14ac:dyDescent="0.3">
      <c r="A187" s="72" t="s">
        <v>287</v>
      </c>
      <c r="B187" s="71" t="s">
        <v>915</v>
      </c>
      <c r="C187" s="71" t="s">
        <v>1108</v>
      </c>
      <c r="D187" t="str">
        <f>VLOOKUP(C187,费控系统预算科目明细表!G:G,1,0)</f>
        <v>SA108</v>
      </c>
      <c r="F187" s="72" t="s">
        <v>287</v>
      </c>
    </row>
    <row r="188" spans="1:6" ht="18.399999999999999" x14ac:dyDescent="0.3">
      <c r="A188" s="72" t="s">
        <v>355</v>
      </c>
      <c r="B188" s="71" t="s">
        <v>915</v>
      </c>
      <c r="C188" s="71" t="s">
        <v>1109</v>
      </c>
      <c r="D188" t="str">
        <f>VLOOKUP(C188,费控系统预算科目明细表!G:G,1,0)</f>
        <v>ZY111</v>
      </c>
      <c r="F188" s="72" t="s">
        <v>355</v>
      </c>
    </row>
    <row r="189" spans="1:6" ht="18.399999999999999" x14ac:dyDescent="0.3">
      <c r="A189" s="72" t="s">
        <v>340</v>
      </c>
      <c r="B189" s="71" t="s">
        <v>915</v>
      </c>
      <c r="C189" s="71" t="s">
        <v>1110</v>
      </c>
      <c r="D189" t="str">
        <f>VLOOKUP(C189,费控系统预算科目明细表!G:G,1,0)</f>
        <v>ZY132</v>
      </c>
      <c r="F189" s="72" t="s">
        <v>340</v>
      </c>
    </row>
    <row r="190" spans="1:6" ht="18.399999999999999" x14ac:dyDescent="0.3">
      <c r="A190" s="72" t="s">
        <v>305</v>
      </c>
      <c r="B190" s="71" t="s">
        <v>915</v>
      </c>
      <c r="C190" s="71" t="s">
        <v>1111</v>
      </c>
      <c r="D190" t="str">
        <f>VLOOKUP(C190,费控系统预算科目明细表!G:G,1,0)</f>
        <v>ZY121</v>
      </c>
      <c r="F190" s="72" t="s">
        <v>305</v>
      </c>
    </row>
    <row r="191" spans="1:6" ht="18.399999999999999" x14ac:dyDescent="0.3">
      <c r="A191" s="72" t="s">
        <v>349</v>
      </c>
      <c r="B191" s="71" t="s">
        <v>915</v>
      </c>
      <c r="C191" s="71" t="s">
        <v>1112</v>
      </c>
      <c r="D191" t="str">
        <f>VLOOKUP(C191,费控系统预算科目明细表!G:G,1,0)</f>
        <v>ZY06</v>
      </c>
      <c r="F191" s="72" t="s">
        <v>349</v>
      </c>
    </row>
    <row r="192" spans="1:6" ht="18.399999999999999" x14ac:dyDescent="0.3">
      <c r="A192" s="72" t="s">
        <v>389</v>
      </c>
      <c r="B192" s="71" t="s">
        <v>915</v>
      </c>
      <c r="C192" s="71" t="s">
        <v>1113</v>
      </c>
      <c r="D192" t="str">
        <f>VLOOKUP(C192,费控系统预算科目明细表!G:G,1,0)</f>
        <v>ZY114</v>
      </c>
      <c r="F192" s="72" t="s">
        <v>389</v>
      </c>
    </row>
    <row r="193" spans="1:6" ht="18.399999999999999" x14ac:dyDescent="0.3">
      <c r="A193" s="72" t="s">
        <v>324</v>
      </c>
      <c r="B193" s="71" t="s">
        <v>915</v>
      </c>
      <c r="C193" s="71" t="s">
        <v>1114</v>
      </c>
      <c r="D193" t="str">
        <f>VLOOKUP(C193,费控系统预算科目明细表!G:G,1,0)</f>
        <v>ZY126</v>
      </c>
      <c r="F193" s="72" t="s">
        <v>324</v>
      </c>
    </row>
    <row r="194" spans="1:6" ht="18.399999999999999" x14ac:dyDescent="0.3">
      <c r="A194" s="72" t="s">
        <v>358</v>
      </c>
      <c r="B194" s="71" t="s">
        <v>915</v>
      </c>
      <c r="C194" s="71" t="s">
        <v>1115</v>
      </c>
      <c r="D194" t="str">
        <f>VLOOKUP(C194,费控系统预算科目明细表!G:G,1,0)</f>
        <v>SA123</v>
      </c>
      <c r="F194" s="72" t="s">
        <v>358</v>
      </c>
    </row>
    <row r="195" spans="1:6" ht="18.399999999999999" x14ac:dyDescent="0.3">
      <c r="A195" s="72" t="s">
        <v>356</v>
      </c>
      <c r="B195" s="71" t="s">
        <v>915</v>
      </c>
      <c r="C195" s="71" t="s">
        <v>1116</v>
      </c>
      <c r="D195" t="str">
        <f>VLOOKUP(C195,费控系统预算科目明细表!G:G,1,0)</f>
        <v>ZY112</v>
      </c>
      <c r="F195" s="72" t="s">
        <v>356</v>
      </c>
    </row>
    <row r="196" spans="1:6" ht="18.399999999999999" x14ac:dyDescent="0.3">
      <c r="A196" s="72" t="s">
        <v>403</v>
      </c>
      <c r="B196" s="71" t="s">
        <v>915</v>
      </c>
      <c r="C196" s="71" t="s">
        <v>1117</v>
      </c>
      <c r="D196" t="str">
        <f>VLOOKUP(C196,费控系统预算科目明细表!G:G,1,0)</f>
        <v>ZY131</v>
      </c>
      <c r="F196" s="72" t="s">
        <v>403</v>
      </c>
    </row>
    <row r="197" spans="1:6" ht="18.399999999999999" x14ac:dyDescent="0.3">
      <c r="A197" s="72" t="s">
        <v>370</v>
      </c>
      <c r="B197" s="71" t="s">
        <v>915</v>
      </c>
      <c r="C197" s="71" t="s">
        <v>1118</v>
      </c>
      <c r="D197" t="str">
        <f>VLOOKUP(C197,费控系统预算科目明细表!G:G,1,0)</f>
        <v>SA125</v>
      </c>
      <c r="F197" s="72" t="s">
        <v>370</v>
      </c>
    </row>
    <row r="198" spans="1:6" ht="18.399999999999999" x14ac:dyDescent="0.3">
      <c r="A198" s="72" t="s">
        <v>283</v>
      </c>
      <c r="B198" s="71" t="s">
        <v>915</v>
      </c>
      <c r="C198" s="71" t="s">
        <v>1119</v>
      </c>
      <c r="D198" t="str">
        <f>VLOOKUP(C198,费控系统预算科目明细表!G:G,1,0)</f>
        <v>SA106</v>
      </c>
      <c r="F198" s="72" t="s">
        <v>283</v>
      </c>
    </row>
    <row r="199" spans="1:6" ht="18.399999999999999" x14ac:dyDescent="0.3">
      <c r="A199" s="72" t="s">
        <v>332</v>
      </c>
      <c r="B199" s="71" t="s">
        <v>915</v>
      </c>
      <c r="C199" s="71" t="s">
        <v>1120</v>
      </c>
      <c r="D199" t="str">
        <f>VLOOKUP(C199,费控系统预算科目明细表!G:G,1,0)</f>
        <v>ZY129</v>
      </c>
      <c r="F199" s="72" t="s">
        <v>332</v>
      </c>
    </row>
    <row r="200" spans="1:6" ht="18.399999999999999" x14ac:dyDescent="0.3">
      <c r="A200" s="72" t="s">
        <v>409</v>
      </c>
      <c r="B200" s="71" t="s">
        <v>915</v>
      </c>
      <c r="C200" s="71" t="s">
        <v>1121</v>
      </c>
      <c r="D200" t="str">
        <f>VLOOKUP(C200,费控系统预算科目明细表!G:G,1,0)</f>
        <v>ZY120</v>
      </c>
      <c r="F200" s="72" t="s">
        <v>409</v>
      </c>
    </row>
    <row r="201" spans="1:6" ht="18.399999999999999" x14ac:dyDescent="0.3">
      <c r="A201" s="72" t="s">
        <v>334</v>
      </c>
      <c r="B201" s="71" t="s">
        <v>915</v>
      </c>
      <c r="C201" s="71" t="s">
        <v>1122</v>
      </c>
      <c r="D201" t="str">
        <f>VLOOKUP(C201,费控系统预算科目明细表!G:G,1,0)</f>
        <v>SA183</v>
      </c>
      <c r="F201" s="72" t="s">
        <v>334</v>
      </c>
    </row>
    <row r="202" spans="1:6" ht="18.399999999999999" x14ac:dyDescent="0.3">
      <c r="A202" s="72" t="s">
        <v>333</v>
      </c>
      <c r="B202" s="71" t="s">
        <v>915</v>
      </c>
      <c r="C202" s="71" t="s">
        <v>1123</v>
      </c>
      <c r="D202" t="str">
        <f>VLOOKUP(C202,费控系统预算科目明细表!G:G,1,0)</f>
        <v>SA121</v>
      </c>
      <c r="F202" s="72" t="s">
        <v>333</v>
      </c>
    </row>
    <row r="203" spans="1:6" ht="18.399999999999999" x14ac:dyDescent="0.3">
      <c r="A203" s="72" t="s">
        <v>327</v>
      </c>
      <c r="B203" s="71" t="s">
        <v>915</v>
      </c>
      <c r="C203" s="71" t="s">
        <v>1124</v>
      </c>
      <c r="D203" t="str">
        <f>VLOOKUP(C203,费控系统预算科目明细表!G:G,1,0)</f>
        <v>ZY127</v>
      </c>
      <c r="F203" s="72" t="s">
        <v>327</v>
      </c>
    </row>
    <row r="204" spans="1:6" ht="18.399999999999999" x14ac:dyDescent="0.3">
      <c r="A204" s="72" t="s">
        <v>319</v>
      </c>
      <c r="B204" s="71" t="s">
        <v>915</v>
      </c>
      <c r="C204" s="71" t="s">
        <v>1125</v>
      </c>
      <c r="D204" t="str">
        <f>VLOOKUP(C204,费控系统预算科目明细表!G:G,1,0)</f>
        <v>SA120</v>
      </c>
      <c r="F204" s="72" t="s">
        <v>319</v>
      </c>
    </row>
    <row r="205" spans="1:6" ht="18.399999999999999" x14ac:dyDescent="0.3">
      <c r="A205" s="72" t="s">
        <v>330</v>
      </c>
      <c r="B205" s="71" t="s">
        <v>915</v>
      </c>
      <c r="C205" s="71" t="s">
        <v>1126</v>
      </c>
      <c r="D205" t="str">
        <f>VLOOKUP(C205,费控系统预算科目明细表!G:G,1,0)</f>
        <v>ZY128</v>
      </c>
      <c r="F205" s="72" t="s">
        <v>330</v>
      </c>
    </row>
    <row r="206" spans="1:6" ht="18.399999999999999" x14ac:dyDescent="0.3">
      <c r="A206" s="72" t="s">
        <v>359</v>
      </c>
      <c r="B206" s="71" t="s">
        <v>915</v>
      </c>
      <c r="C206" s="71" t="s">
        <v>1127</v>
      </c>
      <c r="D206" t="str">
        <f>VLOOKUP(C206,费控系统预算科目明细表!G:G,1,0)</f>
        <v>ZY113</v>
      </c>
      <c r="F206" s="72" t="s">
        <v>359</v>
      </c>
    </row>
    <row r="207" spans="1:6" ht="18.399999999999999" x14ac:dyDescent="0.3">
      <c r="A207" s="72" t="s">
        <v>337</v>
      </c>
      <c r="B207" s="71" t="s">
        <v>915</v>
      </c>
      <c r="C207" s="71" t="s">
        <v>1128</v>
      </c>
      <c r="D207" t="str">
        <f>VLOOKUP(C207,费控系统预算科目明细表!G:G,1,0)</f>
        <v>SA186</v>
      </c>
      <c r="F207" s="72" t="s">
        <v>337</v>
      </c>
    </row>
    <row r="208" spans="1:6" ht="18.399999999999999" x14ac:dyDescent="0.3">
      <c r="A208" s="72" t="s">
        <v>541</v>
      </c>
      <c r="B208" s="71" t="s">
        <v>915</v>
      </c>
      <c r="C208" s="71" t="s">
        <v>1129</v>
      </c>
      <c r="D208" t="str">
        <f>VLOOKUP(C208,费控系统预算科目明细表!G:G,1,0)</f>
        <v>SA172</v>
      </c>
      <c r="F208" s="72" t="s">
        <v>541</v>
      </c>
    </row>
    <row r="209" spans="1:6" ht="18.399999999999999" x14ac:dyDescent="0.3">
      <c r="A209" s="72" t="s">
        <v>321</v>
      </c>
      <c r="B209" s="71" t="s">
        <v>915</v>
      </c>
      <c r="C209" s="71" t="s">
        <v>1130</v>
      </c>
      <c r="D209" t="str">
        <f>VLOOKUP(C209,费控系统预算科目明细表!G:G,1,0)</f>
        <v>ZY125</v>
      </c>
      <c r="F209" s="72" t="s">
        <v>321</v>
      </c>
    </row>
    <row r="210" spans="1:6" ht="18.399999999999999" x14ac:dyDescent="0.3">
      <c r="A210" s="72" t="s">
        <v>543</v>
      </c>
      <c r="B210" s="71" t="s">
        <v>915</v>
      </c>
      <c r="C210" s="71" t="s">
        <v>1131</v>
      </c>
      <c r="D210" t="str">
        <f>VLOOKUP(C210,费控系统预算科目明细表!G:G,1,0)</f>
        <v>SA173</v>
      </c>
      <c r="F210" s="72" t="s">
        <v>543</v>
      </c>
    </row>
    <row r="211" spans="1:6" ht="18.399999999999999" x14ac:dyDescent="0.3">
      <c r="A211" s="72" t="s">
        <v>491</v>
      </c>
      <c r="B211" s="71" t="s">
        <v>915</v>
      </c>
      <c r="C211" s="71" t="s">
        <v>1132</v>
      </c>
      <c r="D211" t="str">
        <f>VLOOKUP(C211,费控系统预算科目明细表!G:G,1,0)</f>
        <v>SA153</v>
      </c>
      <c r="F211" s="72" t="s">
        <v>491</v>
      </c>
    </row>
    <row r="212" spans="1:6" ht="18.399999999999999" x14ac:dyDescent="0.3">
      <c r="A212" s="72" t="s">
        <v>416</v>
      </c>
      <c r="B212" s="71" t="s">
        <v>915</v>
      </c>
      <c r="C212" s="71" t="s">
        <v>1133</v>
      </c>
      <c r="D212" t="str">
        <f>VLOOKUP(C212,费控系统预算科目明细表!G:G,1,0)</f>
        <v>SA135</v>
      </c>
      <c r="F212" s="72" t="s">
        <v>416</v>
      </c>
    </row>
    <row r="213" spans="1:6" ht="18.399999999999999" x14ac:dyDescent="0.3">
      <c r="A213" s="72" t="s">
        <v>1134</v>
      </c>
      <c r="B213" s="71" t="s">
        <v>915</v>
      </c>
      <c r="C213" s="71" t="s">
        <v>1135</v>
      </c>
      <c r="D213" t="e">
        <f>VLOOKUP(C213,费控系统预算科目明细表!G:G,1,0)</f>
        <v>#N/A</v>
      </c>
      <c r="F213" s="72" t="s">
        <v>1134</v>
      </c>
    </row>
    <row r="214" spans="1:6" ht="18.399999999999999" x14ac:dyDescent="0.3">
      <c r="A214" s="72" t="s">
        <v>394</v>
      </c>
      <c r="B214" s="71" t="s">
        <v>915</v>
      </c>
      <c r="C214" s="71" t="s">
        <v>1136</v>
      </c>
      <c r="D214" t="str">
        <f>VLOOKUP(C214,费控系统预算科目明细表!G:G,1,0)</f>
        <v>ZY116</v>
      </c>
      <c r="F214" s="72" t="s">
        <v>394</v>
      </c>
    </row>
    <row r="215" spans="1:6" ht="18.399999999999999" x14ac:dyDescent="0.3">
      <c r="A215" s="72" t="s">
        <v>366</v>
      </c>
      <c r="B215" s="71" t="s">
        <v>915</v>
      </c>
      <c r="C215" s="71" t="s">
        <v>1137</v>
      </c>
      <c r="D215" t="str">
        <f>VLOOKUP(C215,费控系统预算科目明细表!G:G,1,0)</f>
        <v>SA124</v>
      </c>
      <c r="F215" s="72" t="s">
        <v>366</v>
      </c>
    </row>
    <row r="216" spans="1:6" ht="18.399999999999999" x14ac:dyDescent="0.3">
      <c r="A216" s="72" t="s">
        <v>546</v>
      </c>
      <c r="B216" s="71" t="s">
        <v>915</v>
      </c>
      <c r="C216" s="71" t="s">
        <v>1138</v>
      </c>
      <c r="D216" t="str">
        <f>VLOOKUP(C216,费控系统预算科目明细表!G:G,1,0)</f>
        <v>SA174</v>
      </c>
      <c r="F216" s="72" t="s">
        <v>546</v>
      </c>
    </row>
    <row r="217" spans="1:6" ht="18.399999999999999" x14ac:dyDescent="0.3">
      <c r="A217" s="72" t="s">
        <v>336</v>
      </c>
      <c r="B217" s="71" t="s">
        <v>915</v>
      </c>
      <c r="C217" s="71" t="s">
        <v>1139</v>
      </c>
      <c r="D217" t="str">
        <f>VLOOKUP(C217,费控系统预算科目明细表!G:G,1,0)</f>
        <v>SA185</v>
      </c>
      <c r="F217" s="72" t="s">
        <v>336</v>
      </c>
    </row>
    <row r="218" spans="1:6" ht="18.399999999999999" x14ac:dyDescent="0.3">
      <c r="A218" s="72" t="s">
        <v>335</v>
      </c>
      <c r="B218" s="71" t="s">
        <v>915</v>
      </c>
      <c r="C218" s="71" t="s">
        <v>1140</v>
      </c>
      <c r="D218" t="str">
        <f>VLOOKUP(C218,费控系统预算科目明细表!G:G,1,0)</f>
        <v>SA184</v>
      </c>
      <c r="F218" s="72" t="s">
        <v>335</v>
      </c>
    </row>
    <row r="219" spans="1:6" ht="18.399999999999999" x14ac:dyDescent="0.3">
      <c r="A219" s="72" t="s">
        <v>412</v>
      </c>
      <c r="B219" s="71" t="s">
        <v>915</v>
      </c>
      <c r="C219" s="71" t="s">
        <v>1141</v>
      </c>
      <c r="D219" t="str">
        <f>VLOOKUP(C219,费控系统预算科目明细表!G:G,1,0)</f>
        <v>SA134</v>
      </c>
      <c r="F219" s="72" t="s">
        <v>412</v>
      </c>
    </row>
    <row r="220" spans="1:6" ht="18.399999999999999" x14ac:dyDescent="0.3">
      <c r="A220" s="72" t="s">
        <v>419</v>
      </c>
      <c r="B220" s="71" t="s">
        <v>915</v>
      </c>
      <c r="C220" s="71" t="s">
        <v>1142</v>
      </c>
      <c r="D220" t="str">
        <f>VLOOKUP(C220,费控系统预算科目明细表!G:G,1,0)</f>
        <v>SA136</v>
      </c>
      <c r="F220" s="72" t="s">
        <v>419</v>
      </c>
    </row>
    <row r="221" spans="1:6" ht="18.399999999999999" x14ac:dyDescent="0.3">
      <c r="A221" s="72" t="s">
        <v>422</v>
      </c>
      <c r="B221" s="71" t="s">
        <v>915</v>
      </c>
      <c r="C221" s="71" t="s">
        <v>1143</v>
      </c>
      <c r="D221" t="str">
        <f>VLOOKUP(C221,费控系统预算科目明细表!G:G,1,0)</f>
        <v>SA137</v>
      </c>
      <c r="F221" s="72" t="s">
        <v>422</v>
      </c>
    </row>
    <row r="222" spans="1:6" ht="18.399999999999999" x14ac:dyDescent="0.3">
      <c r="A222" s="72" t="s">
        <v>1144</v>
      </c>
      <c r="B222" s="71" t="s">
        <v>915</v>
      </c>
      <c r="C222" s="71" t="s">
        <v>1145</v>
      </c>
      <c r="D222" t="e">
        <f>VLOOKUP(C222,费控系统预算科目明细表!G:G,1,0)</f>
        <v>#N/A</v>
      </c>
      <c r="F222" s="72" t="s">
        <v>1144</v>
      </c>
    </row>
    <row r="223" spans="1:6" ht="18.399999999999999" x14ac:dyDescent="0.3">
      <c r="A223" s="72" t="s">
        <v>1146</v>
      </c>
      <c r="B223" s="71" t="s">
        <v>915</v>
      </c>
      <c r="C223" s="71" t="s">
        <v>1147</v>
      </c>
      <c r="D223" t="e">
        <f>VLOOKUP(C223,费控系统预算科目明细表!G:G,1,0)</f>
        <v>#N/A</v>
      </c>
      <c r="F223" s="72" t="s">
        <v>1146</v>
      </c>
    </row>
    <row r="224" spans="1:6" ht="18.399999999999999" x14ac:dyDescent="0.3">
      <c r="A224" s="72" t="s">
        <v>426</v>
      </c>
      <c r="B224" s="71" t="s">
        <v>915</v>
      </c>
      <c r="C224" s="71" t="s">
        <v>1148</v>
      </c>
      <c r="D224" t="str">
        <f>VLOOKUP(C224,费控系统预算科目明细表!G:G,1,0)</f>
        <v>SA138</v>
      </c>
      <c r="F224" s="72" t="s">
        <v>426</v>
      </c>
    </row>
    <row r="225" spans="1:6" ht="18.399999999999999" x14ac:dyDescent="0.3">
      <c r="A225" s="72" t="s">
        <v>430</v>
      </c>
      <c r="B225" s="71" t="s">
        <v>915</v>
      </c>
      <c r="C225" s="71" t="s">
        <v>1149</v>
      </c>
      <c r="D225" t="str">
        <f>VLOOKUP(C225,费控系统预算科目明细表!G:G,1,0)</f>
        <v>SA139</v>
      </c>
      <c r="F225" s="72" t="s">
        <v>430</v>
      </c>
    </row>
    <row r="226" spans="1:6" ht="18.399999999999999" x14ac:dyDescent="0.3">
      <c r="A226" s="72" t="s">
        <v>453</v>
      </c>
      <c r="B226" s="71" t="s">
        <v>915</v>
      </c>
      <c r="C226" s="71" t="s">
        <v>1150</v>
      </c>
      <c r="D226" t="str">
        <f>VLOOKUP(C226,费控系统预算科目明细表!G:G,1,0)</f>
        <v>ZY04</v>
      </c>
      <c r="F226" s="72" t="s">
        <v>453</v>
      </c>
    </row>
    <row r="227" spans="1:6" ht="18.399999999999999" x14ac:dyDescent="0.3">
      <c r="A227" s="72" t="s">
        <v>444</v>
      </c>
      <c r="B227" s="71" t="s">
        <v>915</v>
      </c>
      <c r="C227" s="71" t="s">
        <v>1151</v>
      </c>
      <c r="D227" t="str">
        <f>VLOOKUP(C227,费控系统预算科目明细表!G:G,1,0)</f>
        <v>ZY177</v>
      </c>
      <c r="F227" s="72" t="s">
        <v>444</v>
      </c>
    </row>
    <row r="228" spans="1:6" ht="18.399999999999999" x14ac:dyDescent="0.3">
      <c r="A228" s="72" t="s">
        <v>439</v>
      </c>
      <c r="B228" s="71" t="s">
        <v>915</v>
      </c>
      <c r="C228" s="71" t="s">
        <v>1152</v>
      </c>
      <c r="D228" t="str">
        <f>VLOOKUP(C228,费控系统预算科目明细表!G:G,1,0)</f>
        <v>ZY86</v>
      </c>
      <c r="F228" s="72" t="s">
        <v>439</v>
      </c>
    </row>
    <row r="229" spans="1:6" ht="18.399999999999999" x14ac:dyDescent="0.3">
      <c r="A229" s="72" t="s">
        <v>447</v>
      </c>
      <c r="B229" s="71" t="s">
        <v>915</v>
      </c>
      <c r="C229" s="71" t="s">
        <v>1153</v>
      </c>
      <c r="D229" t="str">
        <f>VLOOKUP(C229,费控系统预算科目明细表!G:G,1,0)</f>
        <v>ZY87</v>
      </c>
      <c r="F229" s="72" t="s">
        <v>447</v>
      </c>
    </row>
    <row r="230" spans="1:6" ht="18.399999999999999" x14ac:dyDescent="0.3">
      <c r="A230" s="72" t="s">
        <v>436</v>
      </c>
      <c r="B230" s="71" t="s">
        <v>915</v>
      </c>
      <c r="C230" s="71" t="s">
        <v>1154</v>
      </c>
      <c r="D230" t="str">
        <f>VLOOKUP(C230,费控系统预算科目明细表!G:G,1,0)</f>
        <v>ZY85</v>
      </c>
      <c r="F230" s="72" t="s">
        <v>436</v>
      </c>
    </row>
    <row r="231" spans="1:6" ht="18.399999999999999" x14ac:dyDescent="0.3">
      <c r="A231" s="72" t="s">
        <v>451</v>
      </c>
      <c r="B231" s="71" t="s">
        <v>915</v>
      </c>
      <c r="C231" s="71" t="s">
        <v>1155</v>
      </c>
      <c r="D231" t="str">
        <f>VLOOKUP(C231,费控系统预算科目明细表!G:G,1,0)</f>
        <v>ZY88</v>
      </c>
      <c r="F231" s="72" t="s">
        <v>451</v>
      </c>
    </row>
    <row r="232" spans="1:6" ht="18.399999999999999" x14ac:dyDescent="0.3">
      <c r="A232" s="72" t="s">
        <v>441</v>
      </c>
      <c r="B232" s="71" t="s">
        <v>915</v>
      </c>
      <c r="C232" s="71" t="s">
        <v>1156</v>
      </c>
      <c r="D232" t="str">
        <f>VLOOKUP(C232,费控系统预算科目明细表!G:G,1,0)</f>
        <v>SA140</v>
      </c>
      <c r="F232" s="72" t="s">
        <v>441</v>
      </c>
    </row>
    <row r="233" spans="1:6" ht="18.399999999999999" x14ac:dyDescent="0.3">
      <c r="A233" s="72" t="s">
        <v>433</v>
      </c>
      <c r="B233" s="71" t="s">
        <v>915</v>
      </c>
      <c r="C233" s="71" t="s">
        <v>1157</v>
      </c>
      <c r="D233" t="str">
        <f>VLOOKUP(C233,费控系统预算科目明细表!G:G,1,0)</f>
        <v>ZY84</v>
      </c>
      <c r="F233" s="72" t="s">
        <v>433</v>
      </c>
    </row>
    <row r="234" spans="1:6" ht="18.399999999999999" x14ac:dyDescent="0.3">
      <c r="A234" s="72" t="s">
        <v>465</v>
      </c>
      <c r="B234" s="71" t="s">
        <v>915</v>
      </c>
      <c r="C234" s="71" t="s">
        <v>1158</v>
      </c>
      <c r="D234" t="str">
        <f>VLOOKUP(C234,费控系统预算科目明细表!G:G,1,0)</f>
        <v>SA146</v>
      </c>
      <c r="F234" s="72" t="s">
        <v>465</v>
      </c>
    </row>
    <row r="235" spans="1:6" ht="18.399999999999999" x14ac:dyDescent="0.3">
      <c r="A235" s="72" t="s">
        <v>461</v>
      </c>
      <c r="B235" s="71" t="s">
        <v>915</v>
      </c>
      <c r="C235" s="71" t="s">
        <v>1159</v>
      </c>
      <c r="D235" t="str">
        <f>VLOOKUP(C235,费控系统预算科目明细表!G:G,1,0)</f>
        <v>SA144</v>
      </c>
      <c r="F235" s="72" t="s">
        <v>461</v>
      </c>
    </row>
    <row r="236" spans="1:6" ht="18.399999999999999" x14ac:dyDescent="0.3">
      <c r="A236" s="72" t="s">
        <v>467</v>
      </c>
      <c r="B236" s="71" t="s">
        <v>915</v>
      </c>
      <c r="C236" s="71" t="s">
        <v>1160</v>
      </c>
      <c r="D236" t="str">
        <f>VLOOKUP(C236,费控系统预算科目明细表!G:G,1,0)</f>
        <v>SA147</v>
      </c>
      <c r="F236" s="72" t="s">
        <v>467</v>
      </c>
    </row>
    <row r="237" spans="1:6" ht="18.399999999999999" x14ac:dyDescent="0.3">
      <c r="A237" s="72" t="s">
        <v>455</v>
      </c>
      <c r="B237" s="71" t="s">
        <v>915</v>
      </c>
      <c r="C237" s="71" t="s">
        <v>1161</v>
      </c>
      <c r="D237" t="str">
        <f>VLOOKUP(C237,费控系统预算科目明细表!G:G,1,0)</f>
        <v>SA142</v>
      </c>
      <c r="F237" s="72" t="s">
        <v>455</v>
      </c>
    </row>
    <row r="238" spans="1:6" ht="18.399999999999999" x14ac:dyDescent="0.3">
      <c r="A238" s="72" t="s">
        <v>463</v>
      </c>
      <c r="B238" s="71" t="s">
        <v>915</v>
      </c>
      <c r="C238" s="71" t="s">
        <v>1162</v>
      </c>
      <c r="D238" t="str">
        <f>VLOOKUP(C238,费控系统预算科目明细表!G:G,1,0)</f>
        <v>SA145</v>
      </c>
      <c r="F238" s="72" t="s">
        <v>463</v>
      </c>
    </row>
    <row r="239" spans="1:6" ht="18.399999999999999" x14ac:dyDescent="0.3">
      <c r="A239" s="72" t="s">
        <v>459</v>
      </c>
      <c r="B239" s="71" t="s">
        <v>915</v>
      </c>
      <c r="C239" s="71" t="s">
        <v>1163</v>
      </c>
      <c r="D239" t="str">
        <f>VLOOKUP(C239,费控系统预算科目明细表!G:G,1,0)</f>
        <v>SA143</v>
      </c>
      <c r="F239" s="72" t="s">
        <v>459</v>
      </c>
    </row>
    <row r="240" spans="1:6" ht="18.399999999999999" x14ac:dyDescent="0.3">
      <c r="A240" s="72" t="s">
        <v>472</v>
      </c>
      <c r="B240" s="71" t="s">
        <v>915</v>
      </c>
      <c r="C240" s="71" t="s">
        <v>1164</v>
      </c>
      <c r="D240" t="str">
        <f>VLOOKUP(C240,费控系统预算科目明细表!G:G,1,0)</f>
        <v>ZY94</v>
      </c>
      <c r="F240" s="72" t="s">
        <v>472</v>
      </c>
    </row>
    <row r="241" spans="1:6" ht="18.399999999999999" x14ac:dyDescent="0.3">
      <c r="A241" s="72" t="s">
        <v>479</v>
      </c>
      <c r="B241" s="71" t="s">
        <v>915</v>
      </c>
      <c r="C241" s="71" t="s">
        <v>1165</v>
      </c>
      <c r="D241" t="str">
        <f>VLOOKUP(C241,费控系统预算科目明细表!G:G,1,0)</f>
        <v>ZY96</v>
      </c>
      <c r="F241" s="72" t="s">
        <v>479</v>
      </c>
    </row>
    <row r="242" spans="1:6" ht="18.399999999999999" x14ac:dyDescent="0.3">
      <c r="A242" s="72" t="s">
        <v>470</v>
      </c>
      <c r="B242" s="71" t="s">
        <v>915</v>
      </c>
      <c r="C242" s="71" t="s">
        <v>1166</v>
      </c>
      <c r="D242" t="str">
        <f>VLOOKUP(C242,费控系统预算科目明细表!G:G,1,0)</f>
        <v>ZY89</v>
      </c>
      <c r="F242" s="72" t="s">
        <v>470</v>
      </c>
    </row>
    <row r="243" spans="1:6" ht="18.399999999999999" x14ac:dyDescent="0.3">
      <c r="A243" s="72" t="s">
        <v>488</v>
      </c>
      <c r="B243" s="71" t="s">
        <v>915</v>
      </c>
      <c r="C243" s="71" t="s">
        <v>1167</v>
      </c>
      <c r="D243" t="str">
        <f>VLOOKUP(C243,费控系统预算科目明细表!G:G,1,0)</f>
        <v>ZY92</v>
      </c>
      <c r="F243" s="72" t="s">
        <v>488</v>
      </c>
    </row>
    <row r="244" spans="1:6" ht="18.399999999999999" x14ac:dyDescent="0.3">
      <c r="A244" s="72" t="s">
        <v>482</v>
      </c>
      <c r="B244" s="71" t="s">
        <v>915</v>
      </c>
      <c r="C244" s="71" t="s">
        <v>1168</v>
      </c>
      <c r="D244" t="str">
        <f>VLOOKUP(C244,费控系统预算科目明细表!G:G,1,0)</f>
        <v>ZY90</v>
      </c>
      <c r="F244" s="72" t="s">
        <v>482</v>
      </c>
    </row>
    <row r="245" spans="1:6" ht="18.399999999999999" x14ac:dyDescent="0.3">
      <c r="A245" s="72" t="s">
        <v>474</v>
      </c>
      <c r="B245" s="71" t="s">
        <v>915</v>
      </c>
      <c r="C245" s="71" t="s">
        <v>1169</v>
      </c>
      <c r="D245" t="str">
        <f>VLOOKUP(C245,费控系统预算科目明细表!G:G,1,0)</f>
        <v>ZY95</v>
      </c>
      <c r="F245" s="72" t="s">
        <v>474</v>
      </c>
    </row>
    <row r="246" spans="1:6" ht="18.399999999999999" x14ac:dyDescent="0.3">
      <c r="A246" s="72" t="s">
        <v>473</v>
      </c>
      <c r="B246" s="71" t="s">
        <v>915</v>
      </c>
      <c r="C246" s="71" t="s">
        <v>1170</v>
      </c>
      <c r="D246" t="str">
        <f>VLOOKUP(C246,费控系统预算科目明细表!G:G,1,0)</f>
        <v>SA148</v>
      </c>
      <c r="F246" s="72" t="s">
        <v>473</v>
      </c>
    </row>
    <row r="247" spans="1:6" ht="18.399999999999999" x14ac:dyDescent="0.3">
      <c r="A247" s="72" t="s">
        <v>476</v>
      </c>
      <c r="B247" s="71" t="s">
        <v>915</v>
      </c>
      <c r="C247" s="71" t="s">
        <v>1171</v>
      </c>
      <c r="D247" t="str">
        <f>VLOOKUP(C247,费控系统预算科目明细表!G:G,1,0)</f>
        <v>SA150</v>
      </c>
      <c r="F247" s="72" t="s">
        <v>476</v>
      </c>
    </row>
    <row r="248" spans="1:6" ht="18.399999999999999" x14ac:dyDescent="0.3">
      <c r="A248" s="72" t="s">
        <v>477</v>
      </c>
      <c r="B248" s="71" t="s">
        <v>915</v>
      </c>
      <c r="C248" s="71" t="s">
        <v>1172</v>
      </c>
      <c r="D248" t="str">
        <f>VLOOKUP(C248,费控系统预算科目明细表!G:G,1,0)</f>
        <v>SA151</v>
      </c>
      <c r="F248" s="72" t="s">
        <v>477</v>
      </c>
    </row>
    <row r="249" spans="1:6" ht="18.399999999999999" x14ac:dyDescent="0.3">
      <c r="A249" s="72" t="s">
        <v>486</v>
      </c>
      <c r="B249" s="71" t="s">
        <v>915</v>
      </c>
      <c r="C249" s="71" t="s">
        <v>1173</v>
      </c>
      <c r="D249" t="str">
        <f>VLOOKUP(C249,费控系统预算科目明细表!G:G,1,0)</f>
        <v>ZY102</v>
      </c>
      <c r="F249" s="72" t="s">
        <v>486</v>
      </c>
    </row>
    <row r="250" spans="1:6" ht="18.399999999999999" x14ac:dyDescent="0.3">
      <c r="A250" s="72" t="s">
        <v>475</v>
      </c>
      <c r="B250" s="71" t="s">
        <v>915</v>
      </c>
      <c r="C250" s="71" t="s">
        <v>1174</v>
      </c>
      <c r="D250" t="str">
        <f>VLOOKUP(C250,费控系统预算科目明细表!G:G,1,0)</f>
        <v>SA149</v>
      </c>
      <c r="F250" s="72" t="s">
        <v>475</v>
      </c>
    </row>
    <row r="251" spans="1:6" ht="18.399999999999999" x14ac:dyDescent="0.3">
      <c r="A251" s="72" t="s">
        <v>484</v>
      </c>
      <c r="B251" s="71" t="s">
        <v>915</v>
      </c>
      <c r="C251" s="71" t="s">
        <v>1175</v>
      </c>
      <c r="D251" t="str">
        <f>VLOOKUP(C251,费控系统预算科目明细表!G:G,1,0)</f>
        <v>ZY99</v>
      </c>
      <c r="F251" s="72" t="s">
        <v>484</v>
      </c>
    </row>
    <row r="252" spans="1:6" ht="18.399999999999999" x14ac:dyDescent="0.3">
      <c r="A252" s="72" t="s">
        <v>471</v>
      </c>
      <c r="B252" s="71" t="s">
        <v>915</v>
      </c>
      <c r="C252" s="71" t="s">
        <v>1176</v>
      </c>
      <c r="D252" t="str">
        <f>VLOOKUP(C252,费控系统预算科目明细表!G:G,1,0)</f>
        <v>ZY93</v>
      </c>
      <c r="F252" s="72" t="s">
        <v>471</v>
      </c>
    </row>
    <row r="253" spans="1:6" ht="18.399999999999999" x14ac:dyDescent="0.3">
      <c r="A253" s="72" t="s">
        <v>480</v>
      </c>
      <c r="B253" s="71" t="s">
        <v>915</v>
      </c>
      <c r="C253" s="71" t="s">
        <v>1177</v>
      </c>
      <c r="D253" t="str">
        <f>VLOOKUP(C253,费控系统预算科目明细表!G:G,1,0)</f>
        <v>ZY97</v>
      </c>
      <c r="F253" s="72" t="s">
        <v>480</v>
      </c>
    </row>
    <row r="254" spans="1:6" ht="18.399999999999999" x14ac:dyDescent="0.3">
      <c r="A254" s="72" t="s">
        <v>487</v>
      </c>
      <c r="B254" s="71" t="s">
        <v>915</v>
      </c>
      <c r="C254" s="71" t="s">
        <v>1178</v>
      </c>
      <c r="D254" t="str">
        <f>VLOOKUP(C254,费控系统预算科目明细表!G:G,1,0)</f>
        <v>ZY100</v>
      </c>
      <c r="F254" s="72" t="s">
        <v>487</v>
      </c>
    </row>
    <row r="255" spans="1:6" ht="18.399999999999999" x14ac:dyDescent="0.3">
      <c r="A255" s="72" t="s">
        <v>481</v>
      </c>
      <c r="B255" s="71" t="s">
        <v>915</v>
      </c>
      <c r="C255" s="71" t="s">
        <v>1179</v>
      </c>
      <c r="D255" t="str">
        <f>VLOOKUP(C255,费控系统预算科目明细表!G:G,1,0)</f>
        <v>ZY98</v>
      </c>
      <c r="F255" s="72" t="s">
        <v>481</v>
      </c>
    </row>
    <row r="256" spans="1:6" ht="18.399999999999999" x14ac:dyDescent="0.3">
      <c r="A256" s="72" t="s">
        <v>485</v>
      </c>
      <c r="B256" s="71" t="s">
        <v>915</v>
      </c>
      <c r="C256" s="71" t="s">
        <v>1180</v>
      </c>
      <c r="D256" t="str">
        <f>VLOOKUP(C256,费控系统预算科目明细表!G:G,1,0)</f>
        <v>ZY101</v>
      </c>
      <c r="F256" s="72" t="s">
        <v>485</v>
      </c>
    </row>
    <row r="257" spans="1:6" ht="18.399999999999999" x14ac:dyDescent="0.3">
      <c r="A257" s="72" t="s">
        <v>478</v>
      </c>
      <c r="B257" s="71" t="s">
        <v>915</v>
      </c>
      <c r="C257" s="71" t="s">
        <v>1181</v>
      </c>
      <c r="D257" t="str">
        <f>VLOOKUP(C257,费控系统预算科目明细表!G:G,1,0)</f>
        <v>SA152</v>
      </c>
      <c r="F257" s="72" t="s">
        <v>478</v>
      </c>
    </row>
    <row r="258" spans="1:6" ht="18.399999999999999" x14ac:dyDescent="0.3">
      <c r="A258" s="72" t="s">
        <v>483</v>
      </c>
      <c r="B258" s="71" t="s">
        <v>915</v>
      </c>
      <c r="C258" s="71" t="s">
        <v>1182</v>
      </c>
      <c r="D258" t="str">
        <f>VLOOKUP(C258,费控系统预算科目明细表!G:G,1,0)</f>
        <v>ZY91</v>
      </c>
      <c r="F258" s="72" t="s">
        <v>483</v>
      </c>
    </row>
    <row r="259" spans="1:6" ht="18.399999999999999" x14ac:dyDescent="0.3">
      <c r="A259" s="72" t="s">
        <v>496</v>
      </c>
      <c r="B259" s="71" t="s">
        <v>915</v>
      </c>
      <c r="C259" s="71" t="s">
        <v>1183</v>
      </c>
      <c r="D259" t="str">
        <f>VLOOKUP(C259,费控系统预算科目明细表!G:G,1,0)</f>
        <v>SA154</v>
      </c>
      <c r="F259" s="72" t="s">
        <v>496</v>
      </c>
    </row>
    <row r="260" spans="1:6" ht="18.399999999999999" x14ac:dyDescent="0.3">
      <c r="A260" s="72" t="s">
        <v>518</v>
      </c>
      <c r="B260" s="71" t="s">
        <v>915</v>
      </c>
      <c r="C260" s="71" t="s">
        <v>1184</v>
      </c>
      <c r="D260" t="str">
        <f>VLOOKUP(C260,费控系统预算科目明细表!G:G,1,0)</f>
        <v>SA161</v>
      </c>
      <c r="F260" s="72" t="s">
        <v>518</v>
      </c>
    </row>
    <row r="261" spans="1:6" ht="18.399999999999999" x14ac:dyDescent="0.3">
      <c r="A261" s="72" t="s">
        <v>512</v>
      </c>
      <c r="B261" s="71" t="s">
        <v>915</v>
      </c>
      <c r="C261" s="71" t="s">
        <v>1185</v>
      </c>
      <c r="D261" t="str">
        <f>VLOOKUP(C261,费控系统预算科目明细表!G:G,1,0)</f>
        <v>SA159</v>
      </c>
      <c r="F261" s="72" t="s">
        <v>512</v>
      </c>
    </row>
    <row r="262" spans="1:6" ht="18.399999999999999" x14ac:dyDescent="0.3">
      <c r="A262" s="72" t="s">
        <v>506</v>
      </c>
      <c r="B262" s="71" t="s">
        <v>915</v>
      </c>
      <c r="C262" s="71" t="s">
        <v>1186</v>
      </c>
      <c r="D262" t="str">
        <f>VLOOKUP(C262,费控系统预算科目明细表!G:G,1,0)</f>
        <v>SA157</v>
      </c>
      <c r="F262" s="72" t="s">
        <v>506</v>
      </c>
    </row>
    <row r="263" spans="1:6" ht="18.399999999999999" x14ac:dyDescent="0.3">
      <c r="A263" s="72" t="s">
        <v>505</v>
      </c>
      <c r="B263" s="71" t="s">
        <v>915</v>
      </c>
      <c r="C263" s="71" t="s">
        <v>1187</v>
      </c>
      <c r="D263" t="str">
        <f>VLOOKUP(C263,费控系统预算科目明细表!G:G,1,0)</f>
        <v>SA156</v>
      </c>
      <c r="F263" s="72" t="s">
        <v>505</v>
      </c>
    </row>
    <row r="264" spans="1:6" ht="18.399999999999999" x14ac:dyDescent="0.3">
      <c r="A264" s="72" t="s">
        <v>551</v>
      </c>
      <c r="B264" s="71" t="s">
        <v>915</v>
      </c>
      <c r="C264" s="71" t="s">
        <v>1188</v>
      </c>
      <c r="D264" t="str">
        <f>VLOOKUP(C264,费控系统预算科目明细表!G:G,1,0)</f>
        <v>SA179</v>
      </c>
      <c r="F264" s="72" t="s">
        <v>551</v>
      </c>
    </row>
    <row r="265" spans="1:6" ht="18.399999999999999" x14ac:dyDescent="0.3">
      <c r="A265" s="72" t="s">
        <v>509</v>
      </c>
      <c r="B265" s="71" t="s">
        <v>915</v>
      </c>
      <c r="C265" s="71" t="s">
        <v>1189</v>
      </c>
      <c r="D265" t="str">
        <f>VLOOKUP(C265,费控系统预算科目明细表!G:G,1,0)</f>
        <v>SA158</v>
      </c>
      <c r="F265" s="72" t="s">
        <v>509</v>
      </c>
    </row>
    <row r="266" spans="1:6" ht="18.399999999999999" x14ac:dyDescent="0.3">
      <c r="A266" s="72" t="s">
        <v>515</v>
      </c>
      <c r="B266" s="71" t="s">
        <v>915</v>
      </c>
      <c r="C266" s="71" t="s">
        <v>1190</v>
      </c>
      <c r="D266" t="str">
        <f>VLOOKUP(C266,费控系统预算科目明细表!G:G,1,0)</f>
        <v>SA160</v>
      </c>
      <c r="F266" s="72" t="s">
        <v>515</v>
      </c>
    </row>
    <row r="267" spans="1:6" ht="18.399999999999999" x14ac:dyDescent="0.3">
      <c r="A267" s="72" t="s">
        <v>1191</v>
      </c>
      <c r="B267" s="71" t="s">
        <v>915</v>
      </c>
      <c r="C267" s="71" t="s">
        <v>1192</v>
      </c>
      <c r="D267" t="e">
        <f>VLOOKUP(C267,费控系统预算科目明细表!G:G,1,0)</f>
        <v>#N/A</v>
      </c>
      <c r="F267" s="72" t="s">
        <v>1191</v>
      </c>
    </row>
    <row r="268" spans="1:6" ht="18.399999999999999" x14ac:dyDescent="0.3">
      <c r="A268" s="72" t="s">
        <v>549</v>
      </c>
      <c r="B268" s="71" t="s">
        <v>915</v>
      </c>
      <c r="C268" s="71" t="s">
        <v>1193</v>
      </c>
      <c r="D268" t="str">
        <f>VLOOKUP(C268,费控系统预算科目明细表!G:G,1,0)</f>
        <v>SA178</v>
      </c>
      <c r="F268" s="72" t="s">
        <v>549</v>
      </c>
    </row>
    <row r="269" spans="1:6" ht="18.399999999999999" x14ac:dyDescent="0.3">
      <c r="A269" s="72" t="s">
        <v>501</v>
      </c>
      <c r="B269" s="71" t="s">
        <v>915</v>
      </c>
      <c r="C269" s="71" t="s">
        <v>1194</v>
      </c>
      <c r="D269" t="str">
        <f>VLOOKUP(C269,费控系统预算科目明细表!G:G,1,0)</f>
        <v>SA155</v>
      </c>
      <c r="F269" s="72" t="s">
        <v>501</v>
      </c>
    </row>
    <row r="270" spans="1:6" ht="18.399999999999999" x14ac:dyDescent="0.3">
      <c r="A270" s="72" t="s">
        <v>61</v>
      </c>
      <c r="B270" s="71" t="s">
        <v>915</v>
      </c>
      <c r="C270" s="71" t="s">
        <v>1195</v>
      </c>
      <c r="D270" t="str">
        <f>VLOOKUP(C270,费控系统预算科目明细表!G:G,1,0)</f>
        <v>SA163</v>
      </c>
      <c r="F270" s="72" t="s">
        <v>61</v>
      </c>
    </row>
    <row r="271" spans="1:6" ht="18.399999999999999" x14ac:dyDescent="0.3">
      <c r="A271" s="72" t="s">
        <v>519</v>
      </c>
      <c r="B271" s="71" t="s">
        <v>915</v>
      </c>
      <c r="C271" s="71" t="s">
        <v>1196</v>
      </c>
      <c r="D271" t="str">
        <f>VLOOKUP(C271,费控系统预算科目明细表!G:G,1,0)</f>
        <v>SA162</v>
      </c>
      <c r="F271" s="72" t="s">
        <v>519</v>
      </c>
    </row>
    <row r="272" spans="1:6" ht="18.399999999999999" x14ac:dyDescent="0.3">
      <c r="A272" s="72" t="s">
        <v>1197</v>
      </c>
      <c r="B272" s="71" t="s">
        <v>915</v>
      </c>
      <c r="C272" s="71" t="s">
        <v>1198</v>
      </c>
      <c r="D272" t="e">
        <f>VLOOKUP(C272,费控系统预算科目明细表!G:G,1,0)</f>
        <v>#N/A</v>
      </c>
      <c r="F272" s="72" t="s">
        <v>1197</v>
      </c>
    </row>
    <row r="273" spans="1:6" ht="18.399999999999999" x14ac:dyDescent="0.3">
      <c r="A273" s="72" t="s">
        <v>1199</v>
      </c>
      <c r="B273" s="71" t="s">
        <v>915</v>
      </c>
      <c r="C273" s="71" t="s">
        <v>1200</v>
      </c>
      <c r="D273" t="e">
        <f>VLOOKUP(C273,费控系统预算科目明细表!G:G,1,0)</f>
        <v>#N/A</v>
      </c>
      <c r="F273" s="72" t="s">
        <v>1199</v>
      </c>
    </row>
    <row r="274" spans="1:6" ht="18.399999999999999" x14ac:dyDescent="0.3">
      <c r="A274" s="72" t="s">
        <v>1201</v>
      </c>
      <c r="B274" s="71" t="s">
        <v>915</v>
      </c>
      <c r="C274" s="71" t="s">
        <v>1202</v>
      </c>
      <c r="D274" t="e">
        <f>VLOOKUP(C274,费控系统预算科目明细表!G:G,1,0)</f>
        <v>#N/A</v>
      </c>
      <c r="F274" s="72" t="s">
        <v>1201</v>
      </c>
    </row>
    <row r="275" spans="1:6" ht="18.399999999999999" x14ac:dyDescent="0.3">
      <c r="A275" s="72" t="s">
        <v>500</v>
      </c>
      <c r="B275" s="71" t="s">
        <v>915</v>
      </c>
      <c r="C275" s="71" t="s">
        <v>1203</v>
      </c>
      <c r="D275" t="str">
        <f>VLOOKUP(C275,费控系统预算科目明细表!G:G,1,0)</f>
        <v>SA164</v>
      </c>
      <c r="F275" s="72" t="s">
        <v>500</v>
      </c>
    </row>
    <row r="276" spans="1:6" ht="18.399999999999999" x14ac:dyDescent="0.3">
      <c r="A276" s="72" t="s">
        <v>522</v>
      </c>
      <c r="B276" s="71" t="s">
        <v>915</v>
      </c>
      <c r="C276" s="71" t="s">
        <v>1204</v>
      </c>
      <c r="D276" t="str">
        <f>VLOOKUP(C276,费控系统预算科目明细表!G:G,1,0)</f>
        <v>SA165</v>
      </c>
      <c r="F276" s="72" t="s">
        <v>522</v>
      </c>
    </row>
    <row r="277" spans="1:6" ht="18.399999999999999" x14ac:dyDescent="0.3">
      <c r="A277" s="72" t="s">
        <v>524</v>
      </c>
      <c r="B277" s="71" t="s">
        <v>915</v>
      </c>
      <c r="C277" s="71" t="s">
        <v>1205</v>
      </c>
      <c r="D277" t="str">
        <f>VLOOKUP(C277,费控系统预算科目明细表!G:G,1,0)</f>
        <v>SA166</v>
      </c>
      <c r="F277" s="72" t="s">
        <v>524</v>
      </c>
    </row>
    <row r="278" spans="1:6" ht="18.399999999999999" x14ac:dyDescent="0.3">
      <c r="A278" s="72" t="s">
        <v>526</v>
      </c>
      <c r="B278" s="71" t="s">
        <v>915</v>
      </c>
      <c r="C278" s="71" t="s">
        <v>1206</v>
      </c>
      <c r="D278" t="str">
        <f>VLOOKUP(C278,费控系统预算科目明细表!G:G,1,0)</f>
        <v>SA167</v>
      </c>
      <c r="F278" s="72" t="s">
        <v>526</v>
      </c>
    </row>
    <row r="279" spans="1:6" ht="18.399999999999999" x14ac:dyDescent="0.3">
      <c r="A279" s="72" t="s">
        <v>533</v>
      </c>
      <c r="B279" s="71" t="s">
        <v>915</v>
      </c>
      <c r="C279" s="71" t="s">
        <v>1207</v>
      </c>
      <c r="D279" t="str">
        <f>VLOOKUP(C279,费控系统预算科目明细表!G:G,1,0)</f>
        <v>SA169</v>
      </c>
      <c r="F279" s="72" t="s">
        <v>533</v>
      </c>
    </row>
    <row r="280" spans="1:6" ht="18.399999999999999" x14ac:dyDescent="0.3">
      <c r="A280" s="72" t="s">
        <v>536</v>
      </c>
      <c r="B280" s="71" t="s">
        <v>915</v>
      </c>
      <c r="C280" s="71" t="s">
        <v>1208</v>
      </c>
      <c r="D280" t="str">
        <f>VLOOKUP(C280,费控系统预算科目明细表!G:G,1,0)</f>
        <v>SA170</v>
      </c>
      <c r="F280" s="72" t="s">
        <v>536</v>
      </c>
    </row>
    <row r="281" spans="1:6" ht="18.399999999999999" x14ac:dyDescent="0.3">
      <c r="A281" s="72" t="s">
        <v>530</v>
      </c>
      <c r="B281" s="71" t="s">
        <v>915</v>
      </c>
      <c r="C281" s="71" t="s">
        <v>1209</v>
      </c>
      <c r="D281" t="str">
        <f>VLOOKUP(C281,费控系统预算科目明细表!G:G,1,0)</f>
        <v>SA168</v>
      </c>
      <c r="F281" s="72" t="s">
        <v>530</v>
      </c>
    </row>
    <row r="282" spans="1:6" ht="18.399999999999999" x14ac:dyDescent="0.3">
      <c r="A282" s="72" t="s">
        <v>538</v>
      </c>
      <c r="B282" s="71" t="s">
        <v>915</v>
      </c>
      <c r="C282" s="71" t="s">
        <v>1210</v>
      </c>
      <c r="D282" t="str">
        <f>VLOOKUP(C282,费控系统预算科目明细表!G:G,1,0)</f>
        <v>SA171</v>
      </c>
      <c r="F282" s="72" t="s">
        <v>538</v>
      </c>
    </row>
    <row r="283" spans="1:6" ht="18.399999999999999" x14ac:dyDescent="0.3">
      <c r="A283" s="72" t="s">
        <v>1211</v>
      </c>
      <c r="B283" s="71" t="s">
        <v>915</v>
      </c>
      <c r="C283" s="71" t="s">
        <v>1212</v>
      </c>
      <c r="D283" t="e">
        <f>VLOOKUP(C283,费控系统预算科目明细表!G:G,1,0)</f>
        <v>#N/A</v>
      </c>
      <c r="F283" s="72" t="s">
        <v>1211</v>
      </c>
    </row>
    <row r="284" spans="1:6" ht="18.399999999999999" x14ac:dyDescent="0.3">
      <c r="A284" s="72" t="s">
        <v>1213</v>
      </c>
      <c r="B284" s="71" t="s">
        <v>915</v>
      </c>
      <c r="C284" s="71" t="s">
        <v>1214</v>
      </c>
      <c r="D284" t="e">
        <f>VLOOKUP(C284,费控系统预算科目明细表!G:G,1,0)</f>
        <v>#N/A</v>
      </c>
      <c r="F284" s="72" t="s">
        <v>1213</v>
      </c>
    </row>
    <row r="285" spans="1:6" ht="18.399999999999999" x14ac:dyDescent="0.3">
      <c r="A285" s="72" t="s">
        <v>1215</v>
      </c>
      <c r="B285" s="71" t="s">
        <v>915</v>
      </c>
      <c r="C285" s="71" t="s">
        <v>1216</v>
      </c>
      <c r="D285" t="e">
        <f>VLOOKUP(C285,费控系统预算科目明细表!G:G,1,0)</f>
        <v>#N/A</v>
      </c>
      <c r="F285" s="72" t="s">
        <v>1215</v>
      </c>
    </row>
    <row r="286" spans="1:6" ht="18.399999999999999" x14ac:dyDescent="0.3">
      <c r="A286" s="72" t="s">
        <v>1217</v>
      </c>
      <c r="B286" s="71" t="s">
        <v>915</v>
      </c>
      <c r="C286" s="71" t="s">
        <v>1218</v>
      </c>
      <c r="D286" t="e">
        <f>VLOOKUP(C286,费控系统预算科目明细表!G:G,1,0)</f>
        <v>#N/A</v>
      </c>
      <c r="F286" s="72" t="s">
        <v>1217</v>
      </c>
    </row>
    <row r="287" spans="1:6" ht="18.399999999999999" x14ac:dyDescent="0.3">
      <c r="A287" s="72" t="s">
        <v>1219</v>
      </c>
      <c r="B287" s="71" t="s">
        <v>915</v>
      </c>
      <c r="C287" s="71" t="s">
        <v>1220</v>
      </c>
      <c r="D287" t="e">
        <f>VLOOKUP(C287,费控系统预算科目明细表!G:G,1,0)</f>
        <v>#N/A</v>
      </c>
      <c r="F287" s="72" t="s">
        <v>1219</v>
      </c>
    </row>
    <row r="288" spans="1:6" ht="18.399999999999999" x14ac:dyDescent="0.3">
      <c r="A288" s="72" t="s">
        <v>1221</v>
      </c>
      <c r="B288" s="71" t="s">
        <v>915</v>
      </c>
      <c r="C288" s="71" t="s">
        <v>1222</v>
      </c>
      <c r="D288" t="e">
        <f>VLOOKUP(C288,费控系统预算科目明细表!G:G,1,0)</f>
        <v>#N/A</v>
      </c>
      <c r="F288" s="72" t="s">
        <v>1221</v>
      </c>
    </row>
    <row r="289" spans="1:6" ht="18.399999999999999" x14ac:dyDescent="0.3">
      <c r="A289" s="72" t="s">
        <v>1223</v>
      </c>
      <c r="B289" s="71" t="s">
        <v>915</v>
      </c>
      <c r="C289" s="71" t="s">
        <v>1224</v>
      </c>
      <c r="D289" t="e">
        <f>VLOOKUP(C289,费控系统预算科目明细表!G:G,1,0)</f>
        <v>#N/A</v>
      </c>
      <c r="F289" s="72" t="s">
        <v>1223</v>
      </c>
    </row>
    <row r="290" spans="1:6" ht="18.399999999999999" x14ac:dyDescent="0.3">
      <c r="A290" s="72" t="s">
        <v>1225</v>
      </c>
      <c r="B290" s="71" t="s">
        <v>915</v>
      </c>
      <c r="C290" s="71" t="s">
        <v>1226</v>
      </c>
      <c r="D290" t="e">
        <f>VLOOKUP(C290,费控系统预算科目明细表!G:G,1,0)</f>
        <v>#N/A</v>
      </c>
      <c r="F290" s="72" t="s">
        <v>1225</v>
      </c>
    </row>
    <row r="291" spans="1:6" ht="18.399999999999999" x14ac:dyDescent="0.3">
      <c r="A291" s="72" t="s">
        <v>1227</v>
      </c>
      <c r="B291" s="71" t="s">
        <v>915</v>
      </c>
      <c r="C291" s="71" t="s">
        <v>1228</v>
      </c>
      <c r="D291" t="e">
        <f>VLOOKUP(C291,费控系统预算科目明细表!G:G,1,0)</f>
        <v>#N/A</v>
      </c>
      <c r="F291" s="72" t="s">
        <v>1227</v>
      </c>
    </row>
    <row r="292" spans="1:6" ht="18.399999999999999" x14ac:dyDescent="0.3">
      <c r="A292" s="72" t="s">
        <v>1229</v>
      </c>
      <c r="B292" s="71" t="s">
        <v>915</v>
      </c>
      <c r="C292" s="71" t="s">
        <v>1230</v>
      </c>
      <c r="D292" t="e">
        <f>VLOOKUP(C292,费控系统预算科目明细表!G:G,1,0)</f>
        <v>#N/A</v>
      </c>
      <c r="F292" s="72" t="s">
        <v>1229</v>
      </c>
    </row>
    <row r="293" spans="1:6" ht="18.399999999999999" x14ac:dyDescent="0.3">
      <c r="A293" s="72" t="s">
        <v>1231</v>
      </c>
      <c r="B293" s="71" t="s">
        <v>915</v>
      </c>
      <c r="C293" s="71" t="s">
        <v>1232</v>
      </c>
      <c r="D293" t="e">
        <f>VLOOKUP(C293,费控系统预算科目明细表!G:G,1,0)</f>
        <v>#N/A</v>
      </c>
      <c r="F293" s="72" t="s">
        <v>1231</v>
      </c>
    </row>
    <row r="294" spans="1:6" ht="18.399999999999999" x14ac:dyDescent="0.3">
      <c r="A294" s="72" t="s">
        <v>561</v>
      </c>
      <c r="B294" s="71" t="s">
        <v>915</v>
      </c>
      <c r="C294" s="71" t="s">
        <v>1233</v>
      </c>
      <c r="D294" t="str">
        <f>VLOOKUP(C294,费控系统预算科目明细表!G:G,1,0)</f>
        <v>ZY163</v>
      </c>
      <c r="F294" s="72" t="s">
        <v>561</v>
      </c>
    </row>
    <row r="295" spans="1:6" ht="18.399999999999999" x14ac:dyDescent="0.3">
      <c r="A295" s="72" t="s">
        <v>563</v>
      </c>
      <c r="B295" s="71" t="s">
        <v>915</v>
      </c>
      <c r="C295" s="71" t="s">
        <v>1234</v>
      </c>
      <c r="D295" t="str">
        <f>VLOOKUP(C295,费控系统预算科目明细表!G:G,1,0)</f>
        <v>ZY165</v>
      </c>
      <c r="F295" s="72" t="s">
        <v>563</v>
      </c>
    </row>
    <row r="296" spans="1:6" ht="18.399999999999999" x14ac:dyDescent="0.3">
      <c r="A296" s="72" t="s">
        <v>560</v>
      </c>
      <c r="B296" s="71" t="s">
        <v>915</v>
      </c>
      <c r="C296" s="71" t="s">
        <v>1235</v>
      </c>
      <c r="D296" t="str">
        <f>VLOOKUP(C296,费控系统预算科目明细表!G:G,1,0)</f>
        <v>ZY162</v>
      </c>
      <c r="F296" s="72" t="s">
        <v>560</v>
      </c>
    </row>
    <row r="297" spans="1:6" ht="18.399999999999999" x14ac:dyDescent="0.3">
      <c r="A297" s="72" t="s">
        <v>568</v>
      </c>
      <c r="B297" s="71" t="s">
        <v>915</v>
      </c>
      <c r="C297" s="71" t="s">
        <v>1236</v>
      </c>
      <c r="D297" t="str">
        <f>VLOOKUP(C297,费控系统预算科目明细表!G:G,1,0)</f>
        <v>ZY37</v>
      </c>
      <c r="F297" s="72" t="s">
        <v>568</v>
      </c>
    </row>
    <row r="298" spans="1:6" ht="18.399999999999999" x14ac:dyDescent="0.3">
      <c r="A298" s="72" t="s">
        <v>1237</v>
      </c>
      <c r="B298" s="71" t="s">
        <v>915</v>
      </c>
      <c r="C298" s="71" t="s">
        <v>1238</v>
      </c>
      <c r="D298" t="e">
        <f>VLOOKUP(C298,费控系统预算科目明细表!G:G,1,0)</f>
        <v>#N/A</v>
      </c>
      <c r="F298" s="72" t="s">
        <v>1237</v>
      </c>
    </row>
    <row r="299" spans="1:6" ht="18.399999999999999" x14ac:dyDescent="0.3">
      <c r="A299" s="72" t="s">
        <v>1239</v>
      </c>
      <c r="B299" s="71" t="s">
        <v>915</v>
      </c>
      <c r="C299" s="71" t="s">
        <v>1240</v>
      </c>
      <c r="D299" t="e">
        <f>VLOOKUP(C299,费控系统预算科目明细表!G:G,1,0)</f>
        <v>#N/A</v>
      </c>
      <c r="F299" s="72" t="s">
        <v>1239</v>
      </c>
    </row>
    <row r="300" spans="1:6" ht="18.399999999999999" x14ac:dyDescent="0.3">
      <c r="A300" s="72" t="s">
        <v>1241</v>
      </c>
      <c r="B300" s="71" t="s">
        <v>915</v>
      </c>
      <c r="C300" s="71" t="s">
        <v>1242</v>
      </c>
      <c r="D300" t="e">
        <f>VLOOKUP(C300,费控系统预算科目明细表!G:G,1,0)</f>
        <v>#N/A</v>
      </c>
      <c r="F300" s="72" t="s">
        <v>1241</v>
      </c>
    </row>
    <row r="301" spans="1:6" ht="18.399999999999999" x14ac:dyDescent="0.3">
      <c r="A301" s="72" t="s">
        <v>570</v>
      </c>
      <c r="B301" s="71" t="s">
        <v>915</v>
      </c>
      <c r="C301" s="71" t="s">
        <v>1243</v>
      </c>
      <c r="D301" t="str">
        <f>VLOOKUP(C301,费控系统预算科目明细表!G:G,1,0)</f>
        <v>ZY39</v>
      </c>
      <c r="F301" s="72" t="s">
        <v>570</v>
      </c>
    </row>
    <row r="302" spans="1:6" ht="18.399999999999999" x14ac:dyDescent="0.3">
      <c r="A302" s="72" t="s">
        <v>1244</v>
      </c>
      <c r="B302" s="71" t="s">
        <v>915</v>
      </c>
      <c r="C302" s="71" t="s">
        <v>1245</v>
      </c>
      <c r="D302" t="e">
        <f>VLOOKUP(C302,费控系统预算科目明细表!G:G,1,0)</f>
        <v>#N/A</v>
      </c>
      <c r="F302" s="72" t="s">
        <v>1244</v>
      </c>
    </row>
    <row r="303" spans="1:6" ht="18.399999999999999" x14ac:dyDescent="0.3">
      <c r="A303" s="72" t="s">
        <v>1246</v>
      </c>
      <c r="B303" s="71" t="s">
        <v>915</v>
      </c>
      <c r="C303" s="71" t="s">
        <v>1247</v>
      </c>
      <c r="D303" t="e">
        <f>VLOOKUP(C303,费控系统预算科目明细表!G:G,1,0)</f>
        <v>#N/A</v>
      </c>
      <c r="F303" s="72" t="s">
        <v>1246</v>
      </c>
    </row>
    <row r="304" spans="1:6" ht="18.399999999999999" x14ac:dyDescent="0.3">
      <c r="A304" s="72" t="s">
        <v>1248</v>
      </c>
      <c r="B304" s="71" t="s">
        <v>915</v>
      </c>
      <c r="C304" s="71" t="s">
        <v>1249</v>
      </c>
      <c r="D304" t="e">
        <f>VLOOKUP(C304,费控系统预算科目明细表!G:G,1,0)</f>
        <v>#N/A</v>
      </c>
      <c r="F304" s="72" t="s">
        <v>1248</v>
      </c>
    </row>
    <row r="305" spans="1:6" ht="18.399999999999999" x14ac:dyDescent="0.3">
      <c r="A305" s="72" t="s">
        <v>1250</v>
      </c>
      <c r="B305" s="71" t="s">
        <v>915</v>
      </c>
      <c r="C305" s="71" t="s">
        <v>1251</v>
      </c>
      <c r="D305" t="e">
        <f>VLOOKUP(C305,费控系统预算科目明细表!G:G,1,0)</f>
        <v>#N/A</v>
      </c>
      <c r="F305" s="72" t="s">
        <v>1250</v>
      </c>
    </row>
    <row r="306" spans="1:6" ht="18.399999999999999" x14ac:dyDescent="0.3">
      <c r="A306" s="72" t="s">
        <v>589</v>
      </c>
      <c r="B306" s="71" t="s">
        <v>915</v>
      </c>
      <c r="C306" s="71" t="s">
        <v>1252</v>
      </c>
      <c r="D306" t="str">
        <f>VLOOKUP(C306,费控系统预算科目明细表!G:G,1,0)</f>
        <v>ZY172</v>
      </c>
      <c r="F306" s="72" t="s">
        <v>589</v>
      </c>
    </row>
    <row r="307" spans="1:6" ht="18.399999999999999" x14ac:dyDescent="0.3">
      <c r="A307" s="72" t="s">
        <v>1253</v>
      </c>
      <c r="B307" s="71" t="s">
        <v>915</v>
      </c>
      <c r="C307" s="71" t="s">
        <v>1254</v>
      </c>
      <c r="D307" t="e">
        <f>VLOOKUP(C307,费控系统预算科目明细表!G:G,1,0)</f>
        <v>#N/A</v>
      </c>
      <c r="F307" s="72" t="s">
        <v>1253</v>
      </c>
    </row>
    <row r="308" spans="1:6" ht="18.399999999999999" x14ac:dyDescent="0.3">
      <c r="A308" s="72" t="s">
        <v>1255</v>
      </c>
      <c r="B308" s="71" t="s">
        <v>915</v>
      </c>
      <c r="C308" s="71" t="s">
        <v>1256</v>
      </c>
      <c r="D308" t="e">
        <f>VLOOKUP(C308,费控系统预算科目明细表!G:G,1,0)</f>
        <v>#N/A</v>
      </c>
      <c r="F308" s="72" t="s">
        <v>1255</v>
      </c>
    </row>
    <row r="309" spans="1:6" ht="18.399999999999999" x14ac:dyDescent="0.3">
      <c r="A309" s="72" t="s">
        <v>567</v>
      </c>
      <c r="B309" s="71" t="s">
        <v>915</v>
      </c>
      <c r="C309" s="71" t="s">
        <v>1257</v>
      </c>
      <c r="D309" t="str">
        <f>VLOOKUP(C309,费控系统预算科目明细表!G:G,1,0)</f>
        <v>ZY36</v>
      </c>
      <c r="F309" s="72" t="s">
        <v>567</v>
      </c>
    </row>
    <row r="310" spans="1:6" ht="18.399999999999999" x14ac:dyDescent="0.3">
      <c r="A310" s="72" t="s">
        <v>566</v>
      </c>
      <c r="B310" s="71" t="s">
        <v>915</v>
      </c>
      <c r="C310" s="71" t="s">
        <v>1258</v>
      </c>
      <c r="D310" t="str">
        <f>VLOOKUP(C310,费控系统预算科目明细表!G:G,1,0)</f>
        <v>ZY168</v>
      </c>
      <c r="F310" s="72" t="s">
        <v>566</v>
      </c>
    </row>
    <row r="311" spans="1:6" ht="18.399999999999999" x14ac:dyDescent="0.3">
      <c r="A311" s="72" t="s">
        <v>569</v>
      </c>
      <c r="B311" s="71" t="s">
        <v>915</v>
      </c>
      <c r="C311" s="71" t="s">
        <v>1259</v>
      </c>
      <c r="D311" t="str">
        <f>VLOOKUP(C311,费控系统预算科目明细表!G:G,1,0)</f>
        <v>ZY38</v>
      </c>
      <c r="F311" s="72" t="s">
        <v>569</v>
      </c>
    </row>
    <row r="312" spans="1:6" ht="18.399999999999999" x14ac:dyDescent="0.3">
      <c r="A312" s="72" t="s">
        <v>559</v>
      </c>
      <c r="B312" s="71" t="s">
        <v>915</v>
      </c>
      <c r="C312" s="71" t="s">
        <v>1260</v>
      </c>
      <c r="D312" t="str">
        <f>VLOOKUP(C312,费控系统预算科目明细表!G:G,1,0)</f>
        <v>ZY161</v>
      </c>
      <c r="F312" s="72" t="s">
        <v>559</v>
      </c>
    </row>
    <row r="313" spans="1:6" ht="18.399999999999999" x14ac:dyDescent="0.3">
      <c r="A313" s="72" t="s">
        <v>556</v>
      </c>
      <c r="B313" s="71" t="s">
        <v>915</v>
      </c>
      <c r="C313" s="71" t="s">
        <v>1261</v>
      </c>
      <c r="D313" t="str">
        <f>VLOOKUP(C313,费控系统预算科目明细表!G:G,1,0)</f>
        <v>ZY158</v>
      </c>
      <c r="F313" s="72" t="s">
        <v>556</v>
      </c>
    </row>
    <row r="314" spans="1:6" ht="18.399999999999999" x14ac:dyDescent="0.3">
      <c r="A314" s="72" t="s">
        <v>1262</v>
      </c>
      <c r="B314" s="71" t="s">
        <v>915</v>
      </c>
      <c r="C314" s="71" t="s">
        <v>1263</v>
      </c>
      <c r="D314" t="e">
        <f>VLOOKUP(C314,费控系统预算科目明细表!G:G,1,0)</f>
        <v>#N/A</v>
      </c>
      <c r="F314" s="72" t="s">
        <v>1262</v>
      </c>
    </row>
    <row r="315" spans="1:6" ht="18.399999999999999" x14ac:dyDescent="0.3">
      <c r="A315" s="72" t="s">
        <v>564</v>
      </c>
      <c r="B315" s="71" t="s">
        <v>915</v>
      </c>
      <c r="C315" s="71" t="s">
        <v>1264</v>
      </c>
      <c r="D315" t="str">
        <f>VLOOKUP(C315,费控系统预算科目明细表!G:G,1,0)</f>
        <v>ZY166</v>
      </c>
      <c r="F315" s="72" t="s">
        <v>564</v>
      </c>
    </row>
    <row r="316" spans="1:6" ht="18.399999999999999" x14ac:dyDescent="0.3">
      <c r="A316" s="72" t="s">
        <v>573</v>
      </c>
      <c r="B316" s="71" t="s">
        <v>915</v>
      </c>
      <c r="C316" s="71" t="s">
        <v>1265</v>
      </c>
      <c r="D316" t="str">
        <f>VLOOKUP(C316,费控系统预算科目明细表!G:G,1,0)</f>
        <v>ZY42</v>
      </c>
      <c r="F316" s="72" t="s">
        <v>573</v>
      </c>
    </row>
    <row r="317" spans="1:6" ht="18.399999999999999" x14ac:dyDescent="0.3">
      <c r="A317" s="72" t="s">
        <v>580</v>
      </c>
      <c r="B317" s="71" t="s">
        <v>915</v>
      </c>
      <c r="C317" s="71" t="s">
        <v>1266</v>
      </c>
      <c r="D317" t="str">
        <f>VLOOKUP(C317,费控系统预算科目明细表!G:G,1,0)</f>
        <v>ZY49</v>
      </c>
      <c r="F317" s="72" t="s">
        <v>580</v>
      </c>
    </row>
    <row r="318" spans="1:6" ht="18.399999999999999" x14ac:dyDescent="0.3">
      <c r="A318" s="72" t="s">
        <v>1267</v>
      </c>
      <c r="B318" s="71" t="s">
        <v>915</v>
      </c>
      <c r="C318" s="71" t="s">
        <v>1268</v>
      </c>
      <c r="D318" t="e">
        <f>VLOOKUP(C318,费控系统预算科目明细表!G:G,1,0)</f>
        <v>#N/A</v>
      </c>
      <c r="F318" s="72" t="s">
        <v>1267</v>
      </c>
    </row>
    <row r="319" spans="1:6" ht="18.399999999999999" x14ac:dyDescent="0.3">
      <c r="A319" s="72" t="s">
        <v>557</v>
      </c>
      <c r="B319" s="71" t="s">
        <v>915</v>
      </c>
      <c r="C319" s="71" t="s">
        <v>1269</v>
      </c>
      <c r="D319" t="str">
        <f>VLOOKUP(C319,费控系统预算科目明细表!G:G,1,0)</f>
        <v>ZY159</v>
      </c>
      <c r="F319" s="72" t="s">
        <v>557</v>
      </c>
    </row>
    <row r="320" spans="1:6" ht="18.399999999999999" x14ac:dyDescent="0.3">
      <c r="A320" s="72" t="s">
        <v>1270</v>
      </c>
      <c r="B320" s="71" t="s">
        <v>915</v>
      </c>
      <c r="C320" s="71" t="s">
        <v>1271</v>
      </c>
      <c r="D320" t="e">
        <f>VLOOKUP(C320,费控系统预算科目明细表!G:G,1,0)</f>
        <v>#N/A</v>
      </c>
      <c r="F320" s="72" t="s">
        <v>1270</v>
      </c>
    </row>
    <row r="321" spans="1:6" ht="18.399999999999999" x14ac:dyDescent="0.3">
      <c r="A321" s="72" t="s">
        <v>554</v>
      </c>
      <c r="B321" s="71" t="s">
        <v>915</v>
      </c>
      <c r="C321" s="71" t="s">
        <v>1272</v>
      </c>
      <c r="D321" t="str">
        <f>VLOOKUP(C321,费控系统预算科目明细表!G:G,1,0)</f>
        <v>ZY157</v>
      </c>
      <c r="F321" s="72" t="s">
        <v>554</v>
      </c>
    </row>
    <row r="322" spans="1:6" ht="18.399999999999999" x14ac:dyDescent="0.3">
      <c r="A322" s="72" t="s">
        <v>576</v>
      </c>
      <c r="B322" s="71" t="s">
        <v>915</v>
      </c>
      <c r="C322" s="71" t="s">
        <v>1273</v>
      </c>
      <c r="D322" t="str">
        <f>VLOOKUP(C322,费控系统预算科目明细表!G:G,1,0)</f>
        <v>ZY45</v>
      </c>
      <c r="F322" s="72" t="s">
        <v>576</v>
      </c>
    </row>
    <row r="323" spans="1:6" ht="18.399999999999999" x14ac:dyDescent="0.3">
      <c r="A323" s="72" t="s">
        <v>562</v>
      </c>
      <c r="B323" s="71" t="s">
        <v>915</v>
      </c>
      <c r="C323" s="71" t="s">
        <v>1274</v>
      </c>
      <c r="D323" t="str">
        <f>VLOOKUP(C323,费控系统预算科目明细表!G:G,1,0)</f>
        <v>ZY164</v>
      </c>
      <c r="F323" s="72" t="s">
        <v>562</v>
      </c>
    </row>
    <row r="324" spans="1:6" ht="18.399999999999999" x14ac:dyDescent="0.3">
      <c r="A324" s="72" t="s">
        <v>591</v>
      </c>
      <c r="B324" s="71" t="s">
        <v>915</v>
      </c>
      <c r="C324" s="71" t="s">
        <v>1275</v>
      </c>
      <c r="D324" t="str">
        <f>VLOOKUP(C324,费控系统预算科目明细表!G:G,1,0)</f>
        <v>ZY174</v>
      </c>
      <c r="F324" s="72" t="s">
        <v>591</v>
      </c>
    </row>
    <row r="325" spans="1:6" ht="18.399999999999999" x14ac:dyDescent="0.3">
      <c r="A325" s="72" t="s">
        <v>565</v>
      </c>
      <c r="B325" s="71" t="s">
        <v>915</v>
      </c>
      <c r="C325" s="71" t="s">
        <v>1276</v>
      </c>
      <c r="D325" t="str">
        <f>VLOOKUP(C325,费控系统预算科目明细表!G:G,1,0)</f>
        <v>ZY167</v>
      </c>
      <c r="F325" s="72" t="s">
        <v>565</v>
      </c>
    </row>
    <row r="326" spans="1:6" ht="18.399999999999999" x14ac:dyDescent="0.3">
      <c r="A326" s="72" t="s">
        <v>1277</v>
      </c>
      <c r="B326" s="71" t="s">
        <v>915</v>
      </c>
      <c r="C326" s="71" t="s">
        <v>1278</v>
      </c>
      <c r="D326" t="e">
        <f>VLOOKUP(C326,费控系统预算科目明细表!G:G,1,0)</f>
        <v>#N/A</v>
      </c>
      <c r="F326" s="72" t="s">
        <v>1277</v>
      </c>
    </row>
    <row r="327" spans="1:6" ht="18.399999999999999" x14ac:dyDescent="0.3">
      <c r="A327" s="72" t="s">
        <v>558</v>
      </c>
      <c r="B327" s="71" t="s">
        <v>915</v>
      </c>
      <c r="C327" s="71" t="s">
        <v>1279</v>
      </c>
      <c r="D327" t="str">
        <f>VLOOKUP(C327,费控系统预算科目明细表!G:G,1,0)</f>
        <v>ZY160</v>
      </c>
      <c r="F327" s="72" t="s">
        <v>558</v>
      </c>
    </row>
    <row r="328" spans="1:6" ht="18.399999999999999" x14ac:dyDescent="0.3">
      <c r="A328" s="72" t="s">
        <v>574</v>
      </c>
      <c r="B328" s="71" t="s">
        <v>915</v>
      </c>
      <c r="C328" s="71" t="s">
        <v>1280</v>
      </c>
      <c r="D328" t="str">
        <f>VLOOKUP(C328,费控系统预算科目明细表!G:G,1,0)</f>
        <v>ZY43</v>
      </c>
      <c r="F328" s="72" t="s">
        <v>574</v>
      </c>
    </row>
    <row r="329" spans="1:6" ht="18.399999999999999" x14ac:dyDescent="0.3">
      <c r="A329" s="72" t="s">
        <v>572</v>
      </c>
      <c r="B329" s="71" t="s">
        <v>915</v>
      </c>
      <c r="C329" s="71" t="s">
        <v>1281</v>
      </c>
      <c r="D329" t="str">
        <f>VLOOKUP(C329,费控系统预算科目明细表!G:G,1,0)</f>
        <v>ZY41</v>
      </c>
      <c r="F329" s="72" t="s">
        <v>572</v>
      </c>
    </row>
    <row r="330" spans="1:6" ht="18.399999999999999" x14ac:dyDescent="0.3">
      <c r="A330" s="72" t="s">
        <v>579</v>
      </c>
      <c r="B330" s="71" t="s">
        <v>915</v>
      </c>
      <c r="C330" s="71" t="s">
        <v>1282</v>
      </c>
      <c r="D330" t="str">
        <f>VLOOKUP(C330,费控系统预算科目明细表!G:G,1,0)</f>
        <v>ZY48</v>
      </c>
      <c r="F330" s="72" t="s">
        <v>579</v>
      </c>
    </row>
    <row r="331" spans="1:6" ht="18.399999999999999" x14ac:dyDescent="0.3">
      <c r="A331" s="72" t="s">
        <v>582</v>
      </c>
      <c r="B331" s="71" t="s">
        <v>915</v>
      </c>
      <c r="C331" s="71" t="s">
        <v>1283</v>
      </c>
      <c r="D331" t="str">
        <f>VLOOKUP(C331,费控系统预算科目明细表!G:G,1,0)</f>
        <v>ZY51</v>
      </c>
      <c r="F331" s="72" t="s">
        <v>582</v>
      </c>
    </row>
    <row r="332" spans="1:6" ht="18.399999999999999" x14ac:dyDescent="0.3">
      <c r="A332" s="72" t="s">
        <v>583</v>
      </c>
      <c r="B332" s="71" t="s">
        <v>915</v>
      </c>
      <c r="C332" s="71" t="s">
        <v>1284</v>
      </c>
      <c r="D332" t="str">
        <f>VLOOKUP(C332,费控系统预算科目明细表!G:G,1,0)</f>
        <v>ZY52</v>
      </c>
      <c r="F332" s="72" t="s">
        <v>583</v>
      </c>
    </row>
    <row r="333" spans="1:6" ht="18.399999999999999" x14ac:dyDescent="0.3">
      <c r="A333" s="72" t="s">
        <v>581</v>
      </c>
      <c r="B333" s="71" t="s">
        <v>915</v>
      </c>
      <c r="C333" s="71" t="s">
        <v>1285</v>
      </c>
      <c r="D333" t="str">
        <f>VLOOKUP(C333,费控系统预算科目明细表!G:G,1,0)</f>
        <v>ZY50</v>
      </c>
      <c r="F333" s="72" t="s">
        <v>581</v>
      </c>
    </row>
    <row r="334" spans="1:6" ht="18.399999999999999" x14ac:dyDescent="0.3">
      <c r="A334" s="72" t="s">
        <v>590</v>
      </c>
      <c r="B334" s="71" t="s">
        <v>915</v>
      </c>
      <c r="C334" s="71" t="s">
        <v>1286</v>
      </c>
      <c r="D334" t="str">
        <f>VLOOKUP(C334,费控系统预算科目明细表!G:G,1,0)</f>
        <v>ZY173</v>
      </c>
      <c r="F334" s="72" t="s">
        <v>590</v>
      </c>
    </row>
    <row r="335" spans="1:6" ht="18.399999999999999" x14ac:dyDescent="0.3">
      <c r="A335" s="72" t="s">
        <v>584</v>
      </c>
      <c r="B335" s="71" t="s">
        <v>915</v>
      </c>
      <c r="C335" s="71" t="s">
        <v>1287</v>
      </c>
      <c r="D335" t="str">
        <f>VLOOKUP(C335,费控系统预算科目明细表!G:G,1,0)</f>
        <v>ZY53</v>
      </c>
      <c r="F335" s="72" t="s">
        <v>584</v>
      </c>
    </row>
    <row r="336" spans="1:6" ht="18.399999999999999" x14ac:dyDescent="0.3">
      <c r="A336" s="72" t="s">
        <v>577</v>
      </c>
      <c r="B336" s="71" t="s">
        <v>915</v>
      </c>
      <c r="C336" s="71" t="s">
        <v>1288</v>
      </c>
      <c r="D336" t="str">
        <f>VLOOKUP(C336,费控系统预算科目明细表!G:G,1,0)</f>
        <v>ZY46</v>
      </c>
      <c r="F336" s="72" t="s">
        <v>577</v>
      </c>
    </row>
    <row r="337" spans="1:6" ht="18.399999999999999" x14ac:dyDescent="0.3">
      <c r="A337" s="72" t="s">
        <v>587</v>
      </c>
      <c r="B337" s="71" t="s">
        <v>915</v>
      </c>
      <c r="C337" s="71" t="s">
        <v>1289</v>
      </c>
      <c r="D337" t="str">
        <f>VLOOKUP(C337,费控系统预算科目明细表!G:G,1,0)</f>
        <v>ZY170</v>
      </c>
      <c r="F337" s="72" t="s">
        <v>587</v>
      </c>
    </row>
    <row r="338" spans="1:6" ht="18.399999999999999" x14ac:dyDescent="0.3">
      <c r="A338" s="72" t="s">
        <v>578</v>
      </c>
      <c r="B338" s="71" t="s">
        <v>915</v>
      </c>
      <c r="C338" s="71" t="s">
        <v>1290</v>
      </c>
      <c r="D338" t="str">
        <f>VLOOKUP(C338,费控系统预算科目明细表!G:G,1,0)</f>
        <v>ZY47</v>
      </c>
      <c r="F338" s="72" t="s">
        <v>578</v>
      </c>
    </row>
    <row r="339" spans="1:6" ht="18.399999999999999" x14ac:dyDescent="0.3">
      <c r="A339" s="72" t="s">
        <v>585</v>
      </c>
      <c r="B339" s="71" t="s">
        <v>915</v>
      </c>
      <c r="C339" s="71" t="s">
        <v>1291</v>
      </c>
      <c r="D339" t="str">
        <f>VLOOKUP(C339,费控系统预算科目明细表!G:G,1,0)</f>
        <v>ZY54</v>
      </c>
      <c r="F339" s="72" t="s">
        <v>585</v>
      </c>
    </row>
    <row r="340" spans="1:6" ht="18.399999999999999" x14ac:dyDescent="0.3">
      <c r="A340" s="72" t="s">
        <v>575</v>
      </c>
      <c r="B340" s="71" t="s">
        <v>915</v>
      </c>
      <c r="C340" s="71" t="s">
        <v>1292</v>
      </c>
      <c r="D340" t="str">
        <f>VLOOKUP(C340,费控系统预算科目明细表!G:G,1,0)</f>
        <v>ZY40</v>
      </c>
      <c r="F340" s="72" t="s">
        <v>575</v>
      </c>
    </row>
    <row r="341" spans="1:6" ht="18.399999999999999" x14ac:dyDescent="0.3">
      <c r="A341" s="72" t="s">
        <v>586</v>
      </c>
      <c r="B341" s="71" t="s">
        <v>915</v>
      </c>
      <c r="C341" s="71" t="s">
        <v>1293</v>
      </c>
      <c r="D341" t="str">
        <f>VLOOKUP(C341,费控系统预算科目明细表!G:G,1,0)</f>
        <v>ZY169</v>
      </c>
      <c r="F341" s="72" t="s">
        <v>586</v>
      </c>
    </row>
    <row r="342" spans="1:6" ht="18.399999999999999" x14ac:dyDescent="0.3">
      <c r="A342" s="72" t="s">
        <v>571</v>
      </c>
      <c r="B342" s="71" t="s">
        <v>915</v>
      </c>
      <c r="C342" s="71" t="s">
        <v>1294</v>
      </c>
      <c r="D342" t="str">
        <f>VLOOKUP(C342,费控系统预算科目明细表!G:G,1,0)</f>
        <v>ZY44</v>
      </c>
      <c r="F342" s="72" t="s">
        <v>571</v>
      </c>
    </row>
    <row r="343" spans="1:6" ht="18.399999999999999" x14ac:dyDescent="0.3">
      <c r="A343" s="72" t="s">
        <v>588</v>
      </c>
      <c r="B343" s="71" t="s">
        <v>915</v>
      </c>
      <c r="C343" s="71" t="s">
        <v>1295</v>
      </c>
      <c r="D343" t="str">
        <f>VLOOKUP(C343,费控系统预算科目明细表!G:G,1,0)</f>
        <v>ZY171</v>
      </c>
      <c r="F343" s="72" t="s">
        <v>588</v>
      </c>
    </row>
    <row r="344" spans="1:6" ht="18.399999999999999" x14ac:dyDescent="0.3">
      <c r="A344" s="72" t="s">
        <v>1296</v>
      </c>
      <c r="B344" s="71" t="s">
        <v>915</v>
      </c>
      <c r="C344" s="71" t="s">
        <v>1297</v>
      </c>
      <c r="D344" t="e">
        <f>VLOOKUP(C344,费控系统预算科目明细表!G:G,1,0)</f>
        <v>#N/A</v>
      </c>
      <c r="F344" s="72" t="s">
        <v>1296</v>
      </c>
    </row>
    <row r="345" spans="1:6" ht="18.399999999999999" x14ac:dyDescent="0.3">
      <c r="A345" s="72" t="s">
        <v>1298</v>
      </c>
      <c r="B345" s="71" t="s">
        <v>915</v>
      </c>
      <c r="C345" s="71" t="s">
        <v>1299</v>
      </c>
      <c r="D345" t="e">
        <f>VLOOKUP(C345,费控系统预算科目明细表!G:G,1,0)</f>
        <v>#N/A</v>
      </c>
      <c r="F345" s="72" t="s">
        <v>1298</v>
      </c>
    </row>
    <row r="346" spans="1:6" ht="18.399999999999999" x14ac:dyDescent="0.3">
      <c r="A346" s="72" t="s">
        <v>1300</v>
      </c>
      <c r="B346" s="71" t="s">
        <v>915</v>
      </c>
      <c r="C346" s="71" t="s">
        <v>1301</v>
      </c>
      <c r="D346" t="e">
        <f>VLOOKUP(C346,费控系统预算科目明细表!G:G,1,0)</f>
        <v>#N/A</v>
      </c>
      <c r="F346" s="72" t="s">
        <v>1300</v>
      </c>
    </row>
    <row r="347" spans="1:6" ht="18.399999999999999" x14ac:dyDescent="0.3">
      <c r="A347" s="72" t="s">
        <v>1302</v>
      </c>
      <c r="B347" s="71" t="s">
        <v>915</v>
      </c>
      <c r="C347" s="71" t="s">
        <v>1303</v>
      </c>
      <c r="D347" t="e">
        <f>VLOOKUP(C347,费控系统预算科目明细表!G:G,1,0)</f>
        <v>#N/A</v>
      </c>
      <c r="F347" s="72" t="s">
        <v>1302</v>
      </c>
    </row>
  </sheetData>
  <autoFilter ref="A1:D347"/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selection activeCell="E6" sqref="E6"/>
    </sheetView>
  </sheetViews>
  <sheetFormatPr defaultRowHeight="13.5" x14ac:dyDescent="0.3"/>
  <cols>
    <col min="1" max="1" width="14.86328125" bestFit="1" customWidth="1"/>
    <col min="2" max="2" width="16.9296875" bestFit="1" customWidth="1"/>
    <col min="5" max="5" width="16.9296875" bestFit="1" customWidth="1"/>
    <col min="6" max="6" width="24.33203125" bestFit="1" customWidth="1"/>
  </cols>
  <sheetData>
    <row r="1" spans="1:6" x14ac:dyDescent="0.3">
      <c r="A1" s="45" t="s">
        <v>855</v>
      </c>
      <c r="B1" s="45" t="s">
        <v>856</v>
      </c>
      <c r="E1" t="s">
        <v>897</v>
      </c>
      <c r="F1" t="s">
        <v>834</v>
      </c>
    </row>
    <row r="2" spans="1:6" x14ac:dyDescent="0.3">
      <c r="A2" t="s">
        <v>843</v>
      </c>
      <c r="B2" t="s">
        <v>845</v>
      </c>
      <c r="E2" t="s">
        <v>843</v>
      </c>
      <c r="F2" t="s">
        <v>857</v>
      </c>
    </row>
    <row r="3" spans="1:6" x14ac:dyDescent="0.3">
      <c r="A3" t="s">
        <v>835</v>
      </c>
      <c r="B3" t="s">
        <v>846</v>
      </c>
      <c r="E3" t="s">
        <v>835</v>
      </c>
      <c r="F3" t="s">
        <v>859</v>
      </c>
    </row>
    <row r="4" spans="1:6" x14ac:dyDescent="0.3">
      <c r="A4" t="s">
        <v>781</v>
      </c>
      <c r="B4" t="s">
        <v>847</v>
      </c>
      <c r="E4" t="s">
        <v>781</v>
      </c>
      <c r="F4" t="s">
        <v>861</v>
      </c>
    </row>
    <row r="5" spans="1:6" x14ac:dyDescent="0.3">
      <c r="A5" t="s">
        <v>782</v>
      </c>
      <c r="B5" t="s">
        <v>848</v>
      </c>
      <c r="E5" t="s">
        <v>782</v>
      </c>
      <c r="F5" t="s">
        <v>863</v>
      </c>
    </row>
    <row r="6" spans="1:6" x14ac:dyDescent="0.3">
      <c r="A6" t="s">
        <v>837</v>
      </c>
      <c r="B6" t="s">
        <v>836</v>
      </c>
      <c r="E6" t="s">
        <v>837</v>
      </c>
      <c r="F6" t="s">
        <v>875</v>
      </c>
    </row>
    <row r="7" spans="1:6" x14ac:dyDescent="0.3">
      <c r="A7" t="s">
        <v>839</v>
      </c>
      <c r="B7" t="s">
        <v>838</v>
      </c>
      <c r="E7" t="s">
        <v>839</v>
      </c>
      <c r="F7" t="s">
        <v>860</v>
      </c>
    </row>
    <row r="8" spans="1:6" x14ac:dyDescent="0.3">
      <c r="A8" t="s">
        <v>784</v>
      </c>
      <c r="B8" t="s">
        <v>592</v>
      </c>
      <c r="E8" t="s">
        <v>783</v>
      </c>
      <c r="F8" t="s">
        <v>862</v>
      </c>
    </row>
    <row r="9" spans="1:6" x14ac:dyDescent="0.3">
      <c r="A9" t="s">
        <v>787</v>
      </c>
      <c r="B9" t="s">
        <v>849</v>
      </c>
      <c r="E9" t="s">
        <v>784</v>
      </c>
      <c r="F9" t="s">
        <v>866</v>
      </c>
    </row>
    <row r="10" spans="1:6" x14ac:dyDescent="0.3">
      <c r="A10" t="s">
        <v>788</v>
      </c>
      <c r="B10" t="s">
        <v>850</v>
      </c>
      <c r="E10" t="s">
        <v>787</v>
      </c>
      <c r="F10" t="s">
        <v>865</v>
      </c>
    </row>
    <row r="11" spans="1:6" x14ac:dyDescent="0.3">
      <c r="A11" t="s">
        <v>789</v>
      </c>
      <c r="B11" t="s">
        <v>851</v>
      </c>
      <c r="E11" t="s">
        <v>788</v>
      </c>
      <c r="F11" t="s">
        <v>867</v>
      </c>
    </row>
    <row r="12" spans="1:6" x14ac:dyDescent="0.3">
      <c r="A12" t="s">
        <v>790</v>
      </c>
      <c r="B12" t="s">
        <v>840</v>
      </c>
      <c r="E12" t="s">
        <v>789</v>
      </c>
      <c r="F12" t="s">
        <v>876</v>
      </c>
    </row>
    <row r="13" spans="1:6" x14ac:dyDescent="0.3">
      <c r="A13" t="s">
        <v>791</v>
      </c>
      <c r="B13" t="s">
        <v>841</v>
      </c>
      <c r="E13" t="s">
        <v>790</v>
      </c>
      <c r="F13" t="s">
        <v>877</v>
      </c>
    </row>
    <row r="14" spans="1:6" x14ac:dyDescent="0.3">
      <c r="A14" t="s">
        <v>793</v>
      </c>
      <c r="B14" t="s">
        <v>852</v>
      </c>
      <c r="E14" t="s">
        <v>791</v>
      </c>
      <c r="F14" t="s">
        <v>878</v>
      </c>
    </row>
    <row r="15" spans="1:6" x14ac:dyDescent="0.3">
      <c r="A15" t="s">
        <v>794</v>
      </c>
      <c r="B15" t="s">
        <v>853</v>
      </c>
      <c r="E15" t="s">
        <v>793</v>
      </c>
      <c r="F15" t="s">
        <v>869</v>
      </c>
    </row>
    <row r="16" spans="1:6" x14ac:dyDescent="0.3">
      <c r="A16" t="s">
        <v>795</v>
      </c>
      <c r="B16" t="s">
        <v>842</v>
      </c>
      <c r="E16" t="s">
        <v>794</v>
      </c>
      <c r="F16" t="s">
        <v>879</v>
      </c>
    </row>
    <row r="17" spans="1:6" x14ac:dyDescent="0.3">
      <c r="A17" t="s">
        <v>844</v>
      </c>
      <c r="B17" t="s">
        <v>854</v>
      </c>
      <c r="E17" t="s">
        <v>795</v>
      </c>
      <c r="F17" t="s">
        <v>880</v>
      </c>
    </row>
    <row r="18" spans="1:6" x14ac:dyDescent="0.3">
      <c r="E18" t="s">
        <v>796</v>
      </c>
      <c r="F18" t="s">
        <v>881</v>
      </c>
    </row>
    <row r="19" spans="1:6" x14ac:dyDescent="0.3">
      <c r="E19" t="s">
        <v>798</v>
      </c>
      <c r="F19" t="s">
        <v>882</v>
      </c>
    </row>
    <row r="20" spans="1:6" x14ac:dyDescent="0.3">
      <c r="E20" t="s">
        <v>799</v>
      </c>
      <c r="F20" t="s">
        <v>883</v>
      </c>
    </row>
    <row r="21" spans="1:6" x14ac:dyDescent="0.3">
      <c r="E21" t="s">
        <v>800</v>
      </c>
      <c r="F21" t="s">
        <v>909</v>
      </c>
    </row>
    <row r="22" spans="1:6" x14ac:dyDescent="0.3">
      <c r="E22" t="s">
        <v>801</v>
      </c>
      <c r="F22" t="s">
        <v>884</v>
      </c>
    </row>
    <row r="23" spans="1:6" x14ac:dyDescent="0.3">
      <c r="E23" t="s">
        <v>803</v>
      </c>
      <c r="F23" t="s">
        <v>885</v>
      </c>
    </row>
    <row r="24" spans="1:6" x14ac:dyDescent="0.3">
      <c r="E24" t="s">
        <v>804</v>
      </c>
      <c r="F24" t="s">
        <v>886</v>
      </c>
    </row>
    <row r="25" spans="1:6" x14ac:dyDescent="0.3">
      <c r="E25" t="s">
        <v>805</v>
      </c>
      <c r="F25" t="s">
        <v>870</v>
      </c>
    </row>
    <row r="26" spans="1:6" x14ac:dyDescent="0.3">
      <c r="E26" t="s">
        <v>806</v>
      </c>
      <c r="F26" t="s">
        <v>887</v>
      </c>
    </row>
    <row r="27" spans="1:6" x14ac:dyDescent="0.3">
      <c r="E27" t="s">
        <v>807</v>
      </c>
      <c r="F27" t="s">
        <v>888</v>
      </c>
    </row>
    <row r="28" spans="1:6" x14ac:dyDescent="0.3">
      <c r="E28" t="s">
        <v>808</v>
      </c>
      <c r="F28" t="s">
        <v>858</v>
      </c>
    </row>
    <row r="29" spans="1:6" x14ac:dyDescent="0.3">
      <c r="E29" t="s">
        <v>813</v>
      </c>
      <c r="F29" t="s">
        <v>864</v>
      </c>
    </row>
    <row r="30" spans="1:6" x14ac:dyDescent="0.3">
      <c r="E30" t="s">
        <v>814</v>
      </c>
      <c r="F30" t="s">
        <v>889</v>
      </c>
    </row>
    <row r="31" spans="1:6" x14ac:dyDescent="0.3">
      <c r="E31" t="s">
        <v>871</v>
      </c>
      <c r="F31" t="s">
        <v>890</v>
      </c>
    </row>
    <row r="32" spans="1:6" x14ac:dyDescent="0.3">
      <c r="E32" t="s">
        <v>815</v>
      </c>
      <c r="F32" t="s">
        <v>868</v>
      </c>
    </row>
    <row r="33" spans="5:6" x14ac:dyDescent="0.3">
      <c r="E33" t="s">
        <v>816</v>
      </c>
      <c r="F33" t="s">
        <v>891</v>
      </c>
    </row>
    <row r="34" spans="5:6" x14ac:dyDescent="0.3">
      <c r="E34" t="s">
        <v>817</v>
      </c>
      <c r="F34" t="s">
        <v>892</v>
      </c>
    </row>
    <row r="35" spans="5:6" x14ac:dyDescent="0.3">
      <c r="E35" t="s">
        <v>819</v>
      </c>
      <c r="F35" t="s">
        <v>893</v>
      </c>
    </row>
    <row r="36" spans="5:6" x14ac:dyDescent="0.3">
      <c r="E36" t="s">
        <v>872</v>
      </c>
      <c r="F36" t="s">
        <v>894</v>
      </c>
    </row>
    <row r="37" spans="5:6" x14ac:dyDescent="0.3">
      <c r="E37" t="s">
        <v>873</v>
      </c>
      <c r="F37" t="s">
        <v>895</v>
      </c>
    </row>
    <row r="38" spans="5:6" x14ac:dyDescent="0.3">
      <c r="E38" t="s">
        <v>844</v>
      </c>
      <c r="F38" t="s">
        <v>854</v>
      </c>
    </row>
    <row r="39" spans="5:6" x14ac:dyDescent="0.3">
      <c r="E39" t="s">
        <v>874</v>
      </c>
      <c r="F39" t="s">
        <v>896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workbookViewId="0">
      <selection activeCell="G20" sqref="G20"/>
    </sheetView>
  </sheetViews>
  <sheetFormatPr defaultRowHeight="13.5" x14ac:dyDescent="0.3"/>
  <cols>
    <col min="1" max="1" width="11.265625" style="47" bestFit="1" customWidth="1"/>
    <col min="2" max="2" width="37.3984375" style="47" bestFit="1" customWidth="1"/>
    <col min="3" max="16384" width="9.06640625" style="47"/>
  </cols>
  <sheetData>
    <row r="1" spans="1:2" x14ac:dyDescent="0.3">
      <c r="A1" s="47" t="s">
        <v>636</v>
      </c>
      <c r="B1" s="47" t="s">
        <v>637</v>
      </c>
    </row>
    <row r="2" spans="1:2" x14ac:dyDescent="0.3">
      <c r="A2" s="47" t="s">
        <v>638</v>
      </c>
      <c r="B2" s="47" t="s">
        <v>639</v>
      </c>
    </row>
    <row r="3" spans="1:2" x14ac:dyDescent="0.3">
      <c r="A3" s="47" t="s">
        <v>640</v>
      </c>
      <c r="B3" s="47" t="s">
        <v>641</v>
      </c>
    </row>
    <row r="4" spans="1:2" x14ac:dyDescent="0.3">
      <c r="A4" s="47" t="s">
        <v>642</v>
      </c>
      <c r="B4" s="47" t="s">
        <v>643</v>
      </c>
    </row>
    <row r="5" spans="1:2" x14ac:dyDescent="0.3">
      <c r="A5" s="47" t="s">
        <v>644</v>
      </c>
      <c r="B5" s="47" t="s">
        <v>645</v>
      </c>
    </row>
    <row r="6" spans="1:2" x14ac:dyDescent="0.3">
      <c r="A6" s="47" t="s">
        <v>646</v>
      </c>
      <c r="B6" s="47" t="s">
        <v>647</v>
      </c>
    </row>
    <row r="7" spans="1:2" x14ac:dyDescent="0.3">
      <c r="A7" s="47" t="s">
        <v>648</v>
      </c>
      <c r="B7" s="47" t="s">
        <v>649</v>
      </c>
    </row>
    <row r="8" spans="1:2" x14ac:dyDescent="0.3">
      <c r="A8" s="47" t="s">
        <v>650</v>
      </c>
      <c r="B8" s="47" t="s">
        <v>651</v>
      </c>
    </row>
    <row r="9" spans="1:2" x14ac:dyDescent="0.3">
      <c r="A9" s="47" t="s">
        <v>652</v>
      </c>
      <c r="B9" s="47" t="s">
        <v>653</v>
      </c>
    </row>
    <row r="10" spans="1:2" x14ac:dyDescent="0.3">
      <c r="A10" s="47" t="s">
        <v>654</v>
      </c>
      <c r="B10" s="47" t="s">
        <v>655</v>
      </c>
    </row>
    <row r="11" spans="1:2" x14ac:dyDescent="0.3">
      <c r="A11" s="47" t="s">
        <v>656</v>
      </c>
      <c r="B11" s="47" t="s">
        <v>657</v>
      </c>
    </row>
    <row r="12" spans="1:2" x14ac:dyDescent="0.3">
      <c r="A12" s="47" t="s">
        <v>658</v>
      </c>
      <c r="B12" s="47" t="s">
        <v>659</v>
      </c>
    </row>
    <row r="13" spans="1:2" x14ac:dyDescent="0.3">
      <c r="A13" s="33" t="s">
        <v>660</v>
      </c>
      <c r="B13" s="47" t="s">
        <v>661</v>
      </c>
    </row>
    <row r="14" spans="1:2" x14ac:dyDescent="0.3">
      <c r="A14" s="47" t="s">
        <v>662</v>
      </c>
      <c r="B14" s="47" t="s">
        <v>663</v>
      </c>
    </row>
    <row r="15" spans="1:2" x14ac:dyDescent="0.3">
      <c r="A15" s="34" t="s">
        <v>664</v>
      </c>
      <c r="B15" s="47" t="s">
        <v>665</v>
      </c>
    </row>
    <row r="16" spans="1:2" x14ac:dyDescent="0.3">
      <c r="A16" s="34" t="s">
        <v>666</v>
      </c>
      <c r="B16" s="47" t="s">
        <v>667</v>
      </c>
    </row>
    <row r="17" spans="1:2" x14ac:dyDescent="0.3">
      <c r="A17" s="34" t="s">
        <v>668</v>
      </c>
      <c r="B17" s="47" t="s">
        <v>669</v>
      </c>
    </row>
    <row r="18" spans="1:2" x14ac:dyDescent="0.3">
      <c r="A18" s="47" t="s">
        <v>670</v>
      </c>
      <c r="B18" s="47" t="s">
        <v>671</v>
      </c>
    </row>
    <row r="19" spans="1:2" x14ac:dyDescent="0.3">
      <c r="A19" s="47" t="s">
        <v>672</v>
      </c>
      <c r="B19" s="47" t="s">
        <v>673</v>
      </c>
    </row>
    <row r="20" spans="1:2" x14ac:dyDescent="0.3">
      <c r="A20" s="47" t="s">
        <v>674</v>
      </c>
      <c r="B20" s="47" t="s">
        <v>675</v>
      </c>
    </row>
    <row r="21" spans="1:2" x14ac:dyDescent="0.3">
      <c r="A21" s="47" t="s">
        <v>676</v>
      </c>
      <c r="B21" s="47" t="s">
        <v>677</v>
      </c>
    </row>
    <row r="22" spans="1:2" x14ac:dyDescent="0.3">
      <c r="A22" s="47" t="s">
        <v>678</v>
      </c>
      <c r="B22" s="47" t="s">
        <v>679</v>
      </c>
    </row>
    <row r="23" spans="1:2" x14ac:dyDescent="0.3">
      <c r="A23" s="47" t="s">
        <v>680</v>
      </c>
      <c r="B23" s="47" t="s">
        <v>681</v>
      </c>
    </row>
    <row r="24" spans="1:2" x14ac:dyDescent="0.3">
      <c r="A24" s="47" t="s">
        <v>682</v>
      </c>
      <c r="B24" s="47" t="s">
        <v>683</v>
      </c>
    </row>
    <row r="25" spans="1:2" x14ac:dyDescent="0.3">
      <c r="A25" s="47" t="s">
        <v>684</v>
      </c>
      <c r="B25" s="47" t="s">
        <v>685</v>
      </c>
    </row>
    <row r="26" spans="1:2" x14ac:dyDescent="0.3">
      <c r="A26" s="47" t="s">
        <v>686</v>
      </c>
      <c r="B26" s="47" t="s">
        <v>687</v>
      </c>
    </row>
    <row r="27" spans="1:2" x14ac:dyDescent="0.3">
      <c r="A27" s="47" t="s">
        <v>688</v>
      </c>
      <c r="B27" s="47" t="s">
        <v>689</v>
      </c>
    </row>
    <row r="28" spans="1:2" x14ac:dyDescent="0.3">
      <c r="A28" s="47" t="s">
        <v>690</v>
      </c>
      <c r="B28" s="47" t="s">
        <v>691</v>
      </c>
    </row>
    <row r="29" spans="1:2" x14ac:dyDescent="0.3">
      <c r="A29" s="47" t="s">
        <v>692</v>
      </c>
      <c r="B29" s="47" t="s">
        <v>693</v>
      </c>
    </row>
    <row r="30" spans="1:2" x14ac:dyDescent="0.3">
      <c r="A30" s="47" t="s">
        <v>694</v>
      </c>
      <c r="B30" s="47" t="s">
        <v>695</v>
      </c>
    </row>
    <row r="31" spans="1:2" x14ac:dyDescent="0.3">
      <c r="A31" s="34" t="s">
        <v>696</v>
      </c>
      <c r="B31" s="47" t="s">
        <v>697</v>
      </c>
    </row>
    <row r="32" spans="1:2" x14ac:dyDescent="0.3">
      <c r="A32" s="38" t="s">
        <v>698</v>
      </c>
      <c r="B32" s="47" t="s">
        <v>699</v>
      </c>
    </row>
    <row r="33" spans="1:2" x14ac:dyDescent="0.3">
      <c r="A33" s="47" t="s">
        <v>700</v>
      </c>
      <c r="B33" s="47" t="s">
        <v>701</v>
      </c>
    </row>
    <row r="34" spans="1:2" x14ac:dyDescent="0.3">
      <c r="A34" s="47" t="s">
        <v>705</v>
      </c>
      <c r="B34" s="47" t="s">
        <v>706</v>
      </c>
    </row>
    <row r="35" spans="1:2" x14ac:dyDescent="0.3">
      <c r="A35" s="47" t="s">
        <v>707</v>
      </c>
      <c r="B35" s="47" t="s">
        <v>708</v>
      </c>
    </row>
    <row r="36" spans="1:2" x14ac:dyDescent="0.3">
      <c r="A36" s="47" t="s">
        <v>709</v>
      </c>
      <c r="B36" s="47" t="s">
        <v>710</v>
      </c>
    </row>
    <row r="37" spans="1:2" x14ac:dyDescent="0.3">
      <c r="A37" s="47" t="s">
        <v>711</v>
      </c>
      <c r="B37" s="47" t="s">
        <v>712</v>
      </c>
    </row>
    <row r="38" spans="1:2" x14ac:dyDescent="0.3">
      <c r="A38" s="47" t="s">
        <v>713</v>
      </c>
      <c r="B38" s="47" t="s">
        <v>714</v>
      </c>
    </row>
    <row r="39" spans="1:2" x14ac:dyDescent="0.3">
      <c r="A39" s="47" t="s">
        <v>715</v>
      </c>
      <c r="B39" s="47" t="s">
        <v>716</v>
      </c>
    </row>
    <row r="40" spans="1:2" x14ac:dyDescent="0.3">
      <c r="A40" s="47" t="s">
        <v>717</v>
      </c>
      <c r="B40" s="47" t="s">
        <v>718</v>
      </c>
    </row>
    <row r="41" spans="1:2" x14ac:dyDescent="0.3">
      <c r="A41" s="47" t="s">
        <v>719</v>
      </c>
      <c r="B41" s="47" t="s">
        <v>720</v>
      </c>
    </row>
    <row r="42" spans="1:2" x14ac:dyDescent="0.3">
      <c r="A42" s="47" t="s">
        <v>721</v>
      </c>
      <c r="B42" s="47" t="s">
        <v>722</v>
      </c>
    </row>
    <row r="43" spans="1:2" x14ac:dyDescent="0.3">
      <c r="A43" s="38" t="s">
        <v>723</v>
      </c>
      <c r="B43" s="47" t="s">
        <v>724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98"/>
  <sheetViews>
    <sheetView workbookViewId="0">
      <selection activeCell="D635" sqref="D635"/>
    </sheetView>
  </sheetViews>
  <sheetFormatPr defaultRowHeight="13.5" outlineLevelRow="1" x14ac:dyDescent="0.3"/>
  <cols>
    <col min="2" max="2" width="27.1328125" bestFit="1" customWidth="1"/>
    <col min="3" max="3" width="18" bestFit="1" customWidth="1"/>
    <col min="4" max="4" width="17.9296875" bestFit="1" customWidth="1"/>
    <col min="5" max="13" width="6.265625" bestFit="1" customWidth="1"/>
    <col min="14" max="16" width="7.33203125" bestFit="1" customWidth="1"/>
  </cols>
  <sheetData>
    <row r="1" spans="1:16" x14ac:dyDescent="0.3">
      <c r="A1" s="44" t="s">
        <v>609</v>
      </c>
      <c r="B1" s="3" t="s">
        <v>4</v>
      </c>
      <c r="C1" s="44" t="s">
        <v>635</v>
      </c>
      <c r="D1" s="32" t="s">
        <v>634</v>
      </c>
      <c r="E1" s="32" t="s">
        <v>597</v>
      </c>
      <c r="F1" s="32" t="s">
        <v>598</v>
      </c>
      <c r="G1" s="32" t="s">
        <v>599</v>
      </c>
      <c r="H1" s="32" t="s">
        <v>600</v>
      </c>
      <c r="I1" s="32" t="s">
        <v>601</v>
      </c>
      <c r="J1" s="32" t="s">
        <v>602</v>
      </c>
      <c r="K1" s="32" t="s">
        <v>603</v>
      </c>
      <c r="L1" s="32" t="s">
        <v>604</v>
      </c>
      <c r="M1" s="32" t="s">
        <v>605</v>
      </c>
      <c r="N1" s="32" t="s">
        <v>606</v>
      </c>
      <c r="O1" s="32" t="s">
        <v>607</v>
      </c>
      <c r="P1" s="32" t="s">
        <v>608</v>
      </c>
    </row>
    <row r="2" spans="1:16" x14ac:dyDescent="0.3">
      <c r="B2" s="43" t="s">
        <v>172</v>
      </c>
      <c r="C2" t="s">
        <v>137</v>
      </c>
    </row>
    <row r="3" spans="1:16" hidden="1" outlineLevel="1" x14ac:dyDescent="0.3">
      <c r="C3" s="40" t="s">
        <v>779</v>
      </c>
      <c r="D3" s="35" t="s">
        <v>745</v>
      </c>
    </row>
    <row r="4" spans="1:16" hidden="1" outlineLevel="1" x14ac:dyDescent="0.3">
      <c r="C4" s="41" t="s">
        <v>780</v>
      </c>
      <c r="D4" s="42" t="s">
        <v>820</v>
      </c>
    </row>
    <row r="5" spans="1:16" hidden="1" outlineLevel="1" x14ac:dyDescent="0.3">
      <c r="C5" s="40" t="s">
        <v>781</v>
      </c>
      <c r="D5" s="35" t="s">
        <v>746</v>
      </c>
    </row>
    <row r="6" spans="1:16" hidden="1" outlineLevel="1" x14ac:dyDescent="0.3">
      <c r="C6" s="41" t="s">
        <v>782</v>
      </c>
      <c r="D6" s="35" t="s">
        <v>367</v>
      </c>
    </row>
    <row r="7" spans="1:16" hidden="1" outlineLevel="1" x14ac:dyDescent="0.3">
      <c r="C7" s="41" t="s">
        <v>785</v>
      </c>
      <c r="D7" s="35" t="s">
        <v>68</v>
      </c>
    </row>
    <row r="8" spans="1:16" hidden="1" outlineLevel="1" x14ac:dyDescent="0.3">
      <c r="C8" s="41" t="s">
        <v>786</v>
      </c>
      <c r="D8" s="35" t="s">
        <v>747</v>
      </c>
    </row>
    <row r="9" spans="1:16" hidden="1" outlineLevel="1" x14ac:dyDescent="0.3">
      <c r="C9" s="41" t="s">
        <v>783</v>
      </c>
      <c r="D9" s="35" t="s">
        <v>11</v>
      </c>
    </row>
    <row r="10" spans="1:16" hidden="1" outlineLevel="1" x14ac:dyDescent="0.3">
      <c r="C10" s="41" t="s">
        <v>784</v>
      </c>
      <c r="D10" s="35" t="s">
        <v>125</v>
      </c>
    </row>
    <row r="11" spans="1:16" hidden="1" outlineLevel="1" x14ac:dyDescent="0.3">
      <c r="C11" s="41" t="s">
        <v>787</v>
      </c>
      <c r="D11" s="35" t="s">
        <v>748</v>
      </c>
    </row>
    <row r="12" spans="1:16" hidden="1" outlineLevel="1" x14ac:dyDescent="0.3">
      <c r="C12" s="37" t="s">
        <v>788</v>
      </c>
      <c r="D12" s="35" t="s">
        <v>517</v>
      </c>
    </row>
    <row r="13" spans="1:16" hidden="1" outlineLevel="1" x14ac:dyDescent="0.3">
      <c r="C13" s="37" t="s">
        <v>789</v>
      </c>
      <c r="D13" s="35" t="s">
        <v>386</v>
      </c>
    </row>
    <row r="14" spans="1:16" hidden="1" outlineLevel="1" x14ac:dyDescent="0.3">
      <c r="C14" s="37" t="s">
        <v>790</v>
      </c>
      <c r="D14" s="35" t="s">
        <v>299</v>
      </c>
    </row>
    <row r="15" spans="1:16" hidden="1" outlineLevel="1" x14ac:dyDescent="0.3">
      <c r="C15" s="37" t="s">
        <v>791</v>
      </c>
      <c r="D15" s="35" t="s">
        <v>749</v>
      </c>
    </row>
    <row r="16" spans="1:16" hidden="1" outlineLevel="1" x14ac:dyDescent="0.3">
      <c r="C16" s="37" t="s">
        <v>792</v>
      </c>
      <c r="D16" s="35" t="s">
        <v>750</v>
      </c>
    </row>
    <row r="17" spans="3:4" hidden="1" outlineLevel="1" x14ac:dyDescent="0.3">
      <c r="C17" s="37" t="s">
        <v>793</v>
      </c>
      <c r="D17" s="35" t="s">
        <v>751</v>
      </c>
    </row>
    <row r="18" spans="3:4" hidden="1" outlineLevel="1" x14ac:dyDescent="0.3">
      <c r="C18" s="37" t="s">
        <v>794</v>
      </c>
      <c r="D18" s="35" t="s">
        <v>752</v>
      </c>
    </row>
    <row r="19" spans="3:4" hidden="1" outlineLevel="1" x14ac:dyDescent="0.3">
      <c r="C19" s="37" t="s">
        <v>795</v>
      </c>
      <c r="D19" s="35" t="s">
        <v>753</v>
      </c>
    </row>
    <row r="20" spans="3:4" hidden="1" outlineLevel="1" x14ac:dyDescent="0.3">
      <c r="C20" s="37" t="s">
        <v>796</v>
      </c>
      <c r="D20" s="35" t="s">
        <v>754</v>
      </c>
    </row>
    <row r="21" spans="3:4" hidden="1" outlineLevel="1" x14ac:dyDescent="0.3">
      <c r="C21" s="37" t="s">
        <v>797</v>
      </c>
      <c r="D21" s="35" t="s">
        <v>755</v>
      </c>
    </row>
    <row r="22" spans="3:4" hidden="1" outlineLevel="1" x14ac:dyDescent="0.3">
      <c r="C22" s="37" t="s">
        <v>798</v>
      </c>
      <c r="D22" s="35" t="s">
        <v>756</v>
      </c>
    </row>
    <row r="23" spans="3:4" hidden="1" outlineLevel="1" x14ac:dyDescent="0.3">
      <c r="C23" s="37" t="s">
        <v>799</v>
      </c>
      <c r="D23" s="35" t="s">
        <v>757</v>
      </c>
    </row>
    <row r="24" spans="3:4" hidden="1" outlineLevel="1" x14ac:dyDescent="0.3">
      <c r="C24" s="37" t="s">
        <v>800</v>
      </c>
      <c r="D24" s="35" t="s">
        <v>758</v>
      </c>
    </row>
    <row r="25" spans="3:4" hidden="1" outlineLevel="1" x14ac:dyDescent="0.3">
      <c r="C25" s="37" t="s">
        <v>801</v>
      </c>
      <c r="D25" s="35" t="s">
        <v>759</v>
      </c>
    </row>
    <row r="26" spans="3:4" hidden="1" outlineLevel="1" x14ac:dyDescent="0.3">
      <c r="C26" s="37" t="s">
        <v>802</v>
      </c>
      <c r="D26" s="35" t="s">
        <v>760</v>
      </c>
    </row>
    <row r="27" spans="3:4" hidden="1" outlineLevel="1" x14ac:dyDescent="0.3">
      <c r="C27" s="37" t="s">
        <v>803</v>
      </c>
      <c r="D27" s="35" t="s">
        <v>761</v>
      </c>
    </row>
    <row r="28" spans="3:4" hidden="1" outlineLevel="1" x14ac:dyDescent="0.3">
      <c r="C28" s="37" t="s">
        <v>804</v>
      </c>
      <c r="D28" s="35" t="s">
        <v>762</v>
      </c>
    </row>
    <row r="29" spans="3:4" hidden="1" outlineLevel="1" x14ac:dyDescent="0.3">
      <c r="C29" s="37" t="s">
        <v>805</v>
      </c>
      <c r="D29" s="35" t="s">
        <v>763</v>
      </c>
    </row>
    <row r="30" spans="3:4" hidden="1" outlineLevel="1" x14ac:dyDescent="0.3">
      <c r="C30" s="37" t="s">
        <v>806</v>
      </c>
      <c r="D30" s="35" t="s">
        <v>764</v>
      </c>
    </row>
    <row r="31" spans="3:4" hidden="1" outlineLevel="1" x14ac:dyDescent="0.3">
      <c r="C31" s="37" t="s">
        <v>807</v>
      </c>
      <c r="D31" s="35" t="s">
        <v>765</v>
      </c>
    </row>
    <row r="32" spans="3:4" hidden="1" outlineLevel="1" x14ac:dyDescent="0.3">
      <c r="C32" s="37" t="s">
        <v>808</v>
      </c>
      <c r="D32" s="35" t="s">
        <v>766</v>
      </c>
    </row>
    <row r="33" spans="2:4" hidden="1" outlineLevel="1" x14ac:dyDescent="0.3">
      <c r="C33" s="37" t="s">
        <v>809</v>
      </c>
      <c r="D33" s="35" t="s">
        <v>767</v>
      </c>
    </row>
    <row r="34" spans="2:4" hidden="1" outlineLevel="1" x14ac:dyDescent="0.3">
      <c r="C34" s="37" t="s">
        <v>810</v>
      </c>
      <c r="D34" s="35" t="s">
        <v>768</v>
      </c>
    </row>
    <row r="35" spans="2:4" hidden="1" outlineLevel="1" x14ac:dyDescent="0.3">
      <c r="C35" s="37" t="s">
        <v>811</v>
      </c>
      <c r="D35" s="35" t="s">
        <v>769</v>
      </c>
    </row>
    <row r="36" spans="2:4" hidden="1" outlineLevel="1" x14ac:dyDescent="0.3">
      <c r="C36" s="37" t="s">
        <v>812</v>
      </c>
      <c r="D36" s="35" t="s">
        <v>770</v>
      </c>
    </row>
    <row r="37" spans="2:4" hidden="1" outlineLevel="1" x14ac:dyDescent="0.3">
      <c r="C37" s="37" t="s">
        <v>813</v>
      </c>
      <c r="D37" s="35" t="s">
        <v>771</v>
      </c>
    </row>
    <row r="38" spans="2:4" hidden="1" outlineLevel="1" x14ac:dyDescent="0.3">
      <c r="C38" s="37" t="s">
        <v>814</v>
      </c>
      <c r="D38" s="35" t="s">
        <v>772</v>
      </c>
    </row>
    <row r="39" spans="2:4" hidden="1" outlineLevel="1" x14ac:dyDescent="0.3">
      <c r="C39" s="37" t="s">
        <v>815</v>
      </c>
      <c r="D39" s="35" t="s">
        <v>773</v>
      </c>
    </row>
    <row r="40" spans="2:4" hidden="1" outlineLevel="1" x14ac:dyDescent="0.3">
      <c r="C40" s="37" t="s">
        <v>816</v>
      </c>
      <c r="D40" s="35" t="s">
        <v>774</v>
      </c>
    </row>
    <row r="41" spans="2:4" hidden="1" outlineLevel="1" x14ac:dyDescent="0.3">
      <c r="C41" s="37" t="s">
        <v>817</v>
      </c>
      <c r="D41" s="35" t="s">
        <v>775</v>
      </c>
    </row>
    <row r="42" spans="2:4" hidden="1" outlineLevel="1" x14ac:dyDescent="0.3">
      <c r="C42" s="37" t="s">
        <v>818</v>
      </c>
      <c r="D42" s="35" t="s">
        <v>776</v>
      </c>
    </row>
    <row r="43" spans="2:4" hidden="1" outlineLevel="1" x14ac:dyDescent="0.3">
      <c r="C43" s="37" t="s">
        <v>819</v>
      </c>
      <c r="D43" s="35" t="s">
        <v>777</v>
      </c>
    </row>
    <row r="44" spans="2:4" collapsed="1" x14ac:dyDescent="0.3">
      <c r="B44" s="43" t="s">
        <v>162</v>
      </c>
      <c r="C44" t="s">
        <v>137</v>
      </c>
    </row>
    <row r="45" spans="2:4" hidden="1" outlineLevel="1" x14ac:dyDescent="0.3">
      <c r="C45" s="40" t="s">
        <v>779</v>
      </c>
      <c r="D45" s="35" t="s">
        <v>745</v>
      </c>
    </row>
    <row r="46" spans="2:4" hidden="1" outlineLevel="1" x14ac:dyDescent="0.3">
      <c r="C46" s="41" t="s">
        <v>780</v>
      </c>
      <c r="D46" s="42" t="s">
        <v>820</v>
      </c>
    </row>
    <row r="47" spans="2:4" hidden="1" outlineLevel="1" x14ac:dyDescent="0.3">
      <c r="C47" s="40" t="s">
        <v>781</v>
      </c>
      <c r="D47" s="35" t="s">
        <v>746</v>
      </c>
    </row>
    <row r="48" spans="2:4" hidden="1" outlineLevel="1" x14ac:dyDescent="0.3">
      <c r="C48" s="41" t="s">
        <v>782</v>
      </c>
      <c r="D48" s="35" t="s">
        <v>367</v>
      </c>
    </row>
    <row r="49" spans="3:4" hidden="1" outlineLevel="1" x14ac:dyDescent="0.3">
      <c r="C49" s="41" t="s">
        <v>785</v>
      </c>
      <c r="D49" s="35" t="s">
        <v>68</v>
      </c>
    </row>
    <row r="50" spans="3:4" hidden="1" outlineLevel="1" x14ac:dyDescent="0.3">
      <c r="C50" s="41" t="s">
        <v>786</v>
      </c>
      <c r="D50" s="35" t="s">
        <v>747</v>
      </c>
    </row>
    <row r="51" spans="3:4" hidden="1" outlineLevel="1" x14ac:dyDescent="0.3">
      <c r="C51" s="41" t="s">
        <v>783</v>
      </c>
      <c r="D51" s="35" t="s">
        <v>11</v>
      </c>
    </row>
    <row r="52" spans="3:4" hidden="1" outlineLevel="1" x14ac:dyDescent="0.3">
      <c r="C52" s="41" t="s">
        <v>784</v>
      </c>
      <c r="D52" s="35" t="s">
        <v>125</v>
      </c>
    </row>
    <row r="53" spans="3:4" hidden="1" outlineLevel="1" x14ac:dyDescent="0.3">
      <c r="C53" s="41" t="s">
        <v>787</v>
      </c>
      <c r="D53" s="35" t="s">
        <v>748</v>
      </c>
    </row>
    <row r="54" spans="3:4" hidden="1" outlineLevel="1" x14ac:dyDescent="0.3">
      <c r="C54" s="37" t="s">
        <v>788</v>
      </c>
      <c r="D54" s="35" t="s">
        <v>517</v>
      </c>
    </row>
    <row r="55" spans="3:4" hidden="1" outlineLevel="1" x14ac:dyDescent="0.3">
      <c r="C55" s="37" t="s">
        <v>789</v>
      </c>
      <c r="D55" s="35" t="s">
        <v>386</v>
      </c>
    </row>
    <row r="56" spans="3:4" hidden="1" outlineLevel="1" x14ac:dyDescent="0.3">
      <c r="C56" s="37" t="s">
        <v>790</v>
      </c>
      <c r="D56" s="35" t="s">
        <v>299</v>
      </c>
    </row>
    <row r="57" spans="3:4" hidden="1" outlineLevel="1" x14ac:dyDescent="0.3">
      <c r="C57" s="37" t="s">
        <v>791</v>
      </c>
      <c r="D57" s="35" t="s">
        <v>749</v>
      </c>
    </row>
    <row r="58" spans="3:4" hidden="1" outlineLevel="1" x14ac:dyDescent="0.3">
      <c r="C58" s="37" t="s">
        <v>792</v>
      </c>
      <c r="D58" s="35" t="s">
        <v>750</v>
      </c>
    </row>
    <row r="59" spans="3:4" hidden="1" outlineLevel="1" x14ac:dyDescent="0.3">
      <c r="C59" s="37" t="s">
        <v>793</v>
      </c>
      <c r="D59" s="35" t="s">
        <v>751</v>
      </c>
    </row>
    <row r="60" spans="3:4" hidden="1" outlineLevel="1" x14ac:dyDescent="0.3">
      <c r="C60" s="37" t="s">
        <v>794</v>
      </c>
      <c r="D60" s="35" t="s">
        <v>752</v>
      </c>
    </row>
    <row r="61" spans="3:4" hidden="1" outlineLevel="1" x14ac:dyDescent="0.3">
      <c r="C61" s="37" t="s">
        <v>795</v>
      </c>
      <c r="D61" s="35" t="s">
        <v>753</v>
      </c>
    </row>
    <row r="62" spans="3:4" hidden="1" outlineLevel="1" x14ac:dyDescent="0.3">
      <c r="C62" s="37" t="s">
        <v>796</v>
      </c>
      <c r="D62" s="35" t="s">
        <v>754</v>
      </c>
    </row>
    <row r="63" spans="3:4" hidden="1" outlineLevel="1" x14ac:dyDescent="0.3">
      <c r="C63" s="37" t="s">
        <v>797</v>
      </c>
      <c r="D63" s="35" t="s">
        <v>755</v>
      </c>
    </row>
    <row r="64" spans="3:4" hidden="1" outlineLevel="1" x14ac:dyDescent="0.3">
      <c r="C64" s="37" t="s">
        <v>798</v>
      </c>
      <c r="D64" s="35" t="s">
        <v>756</v>
      </c>
    </row>
    <row r="65" spans="3:4" hidden="1" outlineLevel="1" x14ac:dyDescent="0.3">
      <c r="C65" s="37" t="s">
        <v>799</v>
      </c>
      <c r="D65" s="35" t="s">
        <v>757</v>
      </c>
    </row>
    <row r="66" spans="3:4" hidden="1" outlineLevel="1" x14ac:dyDescent="0.3">
      <c r="C66" s="37" t="s">
        <v>800</v>
      </c>
      <c r="D66" s="35" t="s">
        <v>758</v>
      </c>
    </row>
    <row r="67" spans="3:4" hidden="1" outlineLevel="1" x14ac:dyDescent="0.3">
      <c r="C67" s="37" t="s">
        <v>801</v>
      </c>
      <c r="D67" s="35" t="s">
        <v>759</v>
      </c>
    </row>
    <row r="68" spans="3:4" hidden="1" outlineLevel="1" x14ac:dyDescent="0.3">
      <c r="C68" s="37" t="s">
        <v>802</v>
      </c>
      <c r="D68" s="35" t="s">
        <v>760</v>
      </c>
    </row>
    <row r="69" spans="3:4" hidden="1" outlineLevel="1" x14ac:dyDescent="0.3">
      <c r="C69" s="37" t="s">
        <v>803</v>
      </c>
      <c r="D69" s="35" t="s">
        <v>761</v>
      </c>
    </row>
    <row r="70" spans="3:4" hidden="1" outlineLevel="1" x14ac:dyDescent="0.3">
      <c r="C70" s="37" t="s">
        <v>804</v>
      </c>
      <c r="D70" s="35" t="s">
        <v>762</v>
      </c>
    </row>
    <row r="71" spans="3:4" hidden="1" outlineLevel="1" x14ac:dyDescent="0.3">
      <c r="C71" s="37" t="s">
        <v>805</v>
      </c>
      <c r="D71" s="35" t="s">
        <v>763</v>
      </c>
    </row>
    <row r="72" spans="3:4" hidden="1" outlineLevel="1" x14ac:dyDescent="0.3">
      <c r="C72" s="37" t="s">
        <v>806</v>
      </c>
      <c r="D72" s="35" t="s">
        <v>764</v>
      </c>
    </row>
    <row r="73" spans="3:4" hidden="1" outlineLevel="1" x14ac:dyDescent="0.3">
      <c r="C73" s="37" t="s">
        <v>807</v>
      </c>
      <c r="D73" s="35" t="s">
        <v>765</v>
      </c>
    </row>
    <row r="74" spans="3:4" hidden="1" outlineLevel="1" x14ac:dyDescent="0.3">
      <c r="C74" s="37" t="s">
        <v>808</v>
      </c>
      <c r="D74" s="35" t="s">
        <v>766</v>
      </c>
    </row>
    <row r="75" spans="3:4" hidden="1" outlineLevel="1" x14ac:dyDescent="0.3">
      <c r="C75" s="37" t="s">
        <v>809</v>
      </c>
      <c r="D75" s="35" t="s">
        <v>767</v>
      </c>
    </row>
    <row r="76" spans="3:4" hidden="1" outlineLevel="1" x14ac:dyDescent="0.3">
      <c r="C76" s="37" t="s">
        <v>810</v>
      </c>
      <c r="D76" s="35" t="s">
        <v>768</v>
      </c>
    </row>
    <row r="77" spans="3:4" hidden="1" outlineLevel="1" x14ac:dyDescent="0.3">
      <c r="C77" s="37" t="s">
        <v>811</v>
      </c>
      <c r="D77" s="35" t="s">
        <v>769</v>
      </c>
    </row>
    <row r="78" spans="3:4" hidden="1" outlineLevel="1" x14ac:dyDescent="0.3">
      <c r="C78" s="37" t="s">
        <v>812</v>
      </c>
      <c r="D78" s="35" t="s">
        <v>770</v>
      </c>
    </row>
    <row r="79" spans="3:4" hidden="1" outlineLevel="1" x14ac:dyDescent="0.3">
      <c r="C79" s="37" t="s">
        <v>813</v>
      </c>
      <c r="D79" s="35" t="s">
        <v>771</v>
      </c>
    </row>
    <row r="80" spans="3:4" hidden="1" outlineLevel="1" x14ac:dyDescent="0.3">
      <c r="C80" s="37" t="s">
        <v>814</v>
      </c>
      <c r="D80" s="35" t="s">
        <v>772</v>
      </c>
    </row>
    <row r="81" spans="2:4" hidden="1" outlineLevel="1" x14ac:dyDescent="0.3">
      <c r="C81" s="37" t="s">
        <v>815</v>
      </c>
      <c r="D81" s="35" t="s">
        <v>773</v>
      </c>
    </row>
    <row r="82" spans="2:4" hidden="1" outlineLevel="1" x14ac:dyDescent="0.3">
      <c r="C82" s="37" t="s">
        <v>816</v>
      </c>
      <c r="D82" s="35" t="s">
        <v>774</v>
      </c>
    </row>
    <row r="83" spans="2:4" hidden="1" outlineLevel="1" x14ac:dyDescent="0.3">
      <c r="C83" s="37" t="s">
        <v>817</v>
      </c>
      <c r="D83" s="35" t="s">
        <v>775</v>
      </c>
    </row>
    <row r="84" spans="2:4" hidden="1" outlineLevel="1" x14ac:dyDescent="0.3">
      <c r="C84" s="37" t="s">
        <v>818</v>
      </c>
      <c r="D84" s="35" t="s">
        <v>776</v>
      </c>
    </row>
    <row r="85" spans="2:4" hidden="1" outlineLevel="1" x14ac:dyDescent="0.3">
      <c r="C85" s="37" t="s">
        <v>819</v>
      </c>
      <c r="D85" s="35" t="s">
        <v>777</v>
      </c>
    </row>
    <row r="86" spans="2:4" collapsed="1" x14ac:dyDescent="0.3">
      <c r="B86" s="43" t="s">
        <v>169</v>
      </c>
      <c r="C86" t="s">
        <v>137</v>
      </c>
    </row>
    <row r="87" spans="2:4" hidden="1" outlineLevel="1" x14ac:dyDescent="0.3">
      <c r="C87" s="40" t="s">
        <v>779</v>
      </c>
      <c r="D87" s="35" t="s">
        <v>745</v>
      </c>
    </row>
    <row r="88" spans="2:4" hidden="1" outlineLevel="1" x14ac:dyDescent="0.3">
      <c r="C88" s="41" t="s">
        <v>780</v>
      </c>
      <c r="D88" s="42" t="s">
        <v>820</v>
      </c>
    </row>
    <row r="89" spans="2:4" hidden="1" outlineLevel="1" x14ac:dyDescent="0.3">
      <c r="C89" s="40" t="s">
        <v>781</v>
      </c>
      <c r="D89" s="35" t="s">
        <v>746</v>
      </c>
    </row>
    <row r="90" spans="2:4" hidden="1" outlineLevel="1" x14ac:dyDescent="0.3">
      <c r="C90" s="41" t="s">
        <v>782</v>
      </c>
      <c r="D90" s="35" t="s">
        <v>367</v>
      </c>
    </row>
    <row r="91" spans="2:4" hidden="1" outlineLevel="1" x14ac:dyDescent="0.3">
      <c r="C91" s="41" t="s">
        <v>785</v>
      </c>
      <c r="D91" s="35" t="s">
        <v>68</v>
      </c>
    </row>
    <row r="92" spans="2:4" hidden="1" outlineLevel="1" x14ac:dyDescent="0.3">
      <c r="C92" s="41" t="s">
        <v>786</v>
      </c>
      <c r="D92" s="35" t="s">
        <v>747</v>
      </c>
    </row>
    <row r="93" spans="2:4" hidden="1" outlineLevel="1" x14ac:dyDescent="0.3">
      <c r="C93" s="41" t="s">
        <v>783</v>
      </c>
      <c r="D93" s="35" t="s">
        <v>11</v>
      </c>
    </row>
    <row r="94" spans="2:4" hidden="1" outlineLevel="1" x14ac:dyDescent="0.3">
      <c r="C94" s="41" t="s">
        <v>784</v>
      </c>
      <c r="D94" s="35" t="s">
        <v>125</v>
      </c>
    </row>
    <row r="95" spans="2:4" hidden="1" outlineLevel="1" x14ac:dyDescent="0.3">
      <c r="C95" s="41" t="s">
        <v>787</v>
      </c>
      <c r="D95" s="35" t="s">
        <v>748</v>
      </c>
    </row>
    <row r="96" spans="2:4" hidden="1" outlineLevel="1" x14ac:dyDescent="0.3">
      <c r="C96" s="37" t="s">
        <v>788</v>
      </c>
      <c r="D96" s="35" t="s">
        <v>517</v>
      </c>
    </row>
    <row r="97" spans="3:4" hidden="1" outlineLevel="1" x14ac:dyDescent="0.3">
      <c r="C97" s="37" t="s">
        <v>789</v>
      </c>
      <c r="D97" s="35" t="s">
        <v>386</v>
      </c>
    </row>
    <row r="98" spans="3:4" hidden="1" outlineLevel="1" x14ac:dyDescent="0.3">
      <c r="C98" s="37" t="s">
        <v>790</v>
      </c>
      <c r="D98" s="35" t="s">
        <v>299</v>
      </c>
    </row>
    <row r="99" spans="3:4" hidden="1" outlineLevel="1" x14ac:dyDescent="0.3">
      <c r="C99" s="37" t="s">
        <v>791</v>
      </c>
      <c r="D99" s="35" t="s">
        <v>749</v>
      </c>
    </row>
    <row r="100" spans="3:4" hidden="1" outlineLevel="1" x14ac:dyDescent="0.3">
      <c r="C100" s="37" t="s">
        <v>792</v>
      </c>
      <c r="D100" s="35" t="s">
        <v>750</v>
      </c>
    </row>
    <row r="101" spans="3:4" hidden="1" outlineLevel="1" x14ac:dyDescent="0.3">
      <c r="C101" s="37" t="s">
        <v>793</v>
      </c>
      <c r="D101" s="35" t="s">
        <v>751</v>
      </c>
    </row>
    <row r="102" spans="3:4" hidden="1" outlineLevel="1" x14ac:dyDescent="0.3">
      <c r="C102" s="37" t="s">
        <v>794</v>
      </c>
      <c r="D102" s="35" t="s">
        <v>752</v>
      </c>
    </row>
    <row r="103" spans="3:4" hidden="1" outlineLevel="1" x14ac:dyDescent="0.3">
      <c r="C103" s="37" t="s">
        <v>795</v>
      </c>
      <c r="D103" s="35" t="s">
        <v>753</v>
      </c>
    </row>
    <row r="104" spans="3:4" hidden="1" outlineLevel="1" x14ac:dyDescent="0.3">
      <c r="C104" s="37" t="s">
        <v>796</v>
      </c>
      <c r="D104" s="35" t="s">
        <v>754</v>
      </c>
    </row>
    <row r="105" spans="3:4" hidden="1" outlineLevel="1" x14ac:dyDescent="0.3">
      <c r="C105" s="37" t="s">
        <v>797</v>
      </c>
      <c r="D105" s="35" t="s">
        <v>755</v>
      </c>
    </row>
    <row r="106" spans="3:4" hidden="1" outlineLevel="1" x14ac:dyDescent="0.3">
      <c r="C106" s="37" t="s">
        <v>798</v>
      </c>
      <c r="D106" s="35" t="s">
        <v>756</v>
      </c>
    </row>
    <row r="107" spans="3:4" hidden="1" outlineLevel="1" x14ac:dyDescent="0.3">
      <c r="C107" s="37" t="s">
        <v>799</v>
      </c>
      <c r="D107" s="35" t="s">
        <v>757</v>
      </c>
    </row>
    <row r="108" spans="3:4" hidden="1" outlineLevel="1" x14ac:dyDescent="0.3">
      <c r="C108" s="37" t="s">
        <v>800</v>
      </c>
      <c r="D108" s="35" t="s">
        <v>758</v>
      </c>
    </row>
    <row r="109" spans="3:4" hidden="1" outlineLevel="1" x14ac:dyDescent="0.3">
      <c r="C109" s="37" t="s">
        <v>801</v>
      </c>
      <c r="D109" s="35" t="s">
        <v>759</v>
      </c>
    </row>
    <row r="110" spans="3:4" hidden="1" outlineLevel="1" x14ac:dyDescent="0.3">
      <c r="C110" s="37" t="s">
        <v>802</v>
      </c>
      <c r="D110" s="35" t="s">
        <v>760</v>
      </c>
    </row>
    <row r="111" spans="3:4" hidden="1" outlineLevel="1" x14ac:dyDescent="0.3">
      <c r="C111" s="37" t="s">
        <v>803</v>
      </c>
      <c r="D111" s="35" t="s">
        <v>761</v>
      </c>
    </row>
    <row r="112" spans="3:4" hidden="1" outlineLevel="1" x14ac:dyDescent="0.3">
      <c r="C112" s="37" t="s">
        <v>804</v>
      </c>
      <c r="D112" s="35" t="s">
        <v>762</v>
      </c>
    </row>
    <row r="113" spans="2:4" hidden="1" outlineLevel="1" x14ac:dyDescent="0.3">
      <c r="C113" s="37" t="s">
        <v>805</v>
      </c>
      <c r="D113" s="35" t="s">
        <v>763</v>
      </c>
    </row>
    <row r="114" spans="2:4" hidden="1" outlineLevel="1" x14ac:dyDescent="0.3">
      <c r="C114" s="37" t="s">
        <v>806</v>
      </c>
      <c r="D114" s="35" t="s">
        <v>764</v>
      </c>
    </row>
    <row r="115" spans="2:4" hidden="1" outlineLevel="1" x14ac:dyDescent="0.3">
      <c r="C115" s="37" t="s">
        <v>807</v>
      </c>
      <c r="D115" s="35" t="s">
        <v>765</v>
      </c>
    </row>
    <row r="116" spans="2:4" hidden="1" outlineLevel="1" x14ac:dyDescent="0.3">
      <c r="C116" s="37" t="s">
        <v>808</v>
      </c>
      <c r="D116" s="35" t="s">
        <v>766</v>
      </c>
    </row>
    <row r="117" spans="2:4" hidden="1" outlineLevel="1" x14ac:dyDescent="0.3">
      <c r="C117" s="37" t="s">
        <v>809</v>
      </c>
      <c r="D117" s="35" t="s">
        <v>767</v>
      </c>
    </row>
    <row r="118" spans="2:4" hidden="1" outlineLevel="1" x14ac:dyDescent="0.3">
      <c r="C118" s="37" t="s">
        <v>810</v>
      </c>
      <c r="D118" s="35" t="s">
        <v>768</v>
      </c>
    </row>
    <row r="119" spans="2:4" hidden="1" outlineLevel="1" x14ac:dyDescent="0.3">
      <c r="C119" s="37" t="s">
        <v>811</v>
      </c>
      <c r="D119" s="35" t="s">
        <v>769</v>
      </c>
    </row>
    <row r="120" spans="2:4" hidden="1" outlineLevel="1" x14ac:dyDescent="0.3">
      <c r="C120" s="37" t="s">
        <v>812</v>
      </c>
      <c r="D120" s="35" t="s">
        <v>770</v>
      </c>
    </row>
    <row r="121" spans="2:4" hidden="1" outlineLevel="1" x14ac:dyDescent="0.3">
      <c r="C121" s="37" t="s">
        <v>813</v>
      </c>
      <c r="D121" s="35" t="s">
        <v>771</v>
      </c>
    </row>
    <row r="122" spans="2:4" hidden="1" outlineLevel="1" x14ac:dyDescent="0.3">
      <c r="C122" s="37" t="s">
        <v>814</v>
      </c>
      <c r="D122" s="35" t="s">
        <v>772</v>
      </c>
    </row>
    <row r="123" spans="2:4" hidden="1" outlineLevel="1" x14ac:dyDescent="0.3">
      <c r="C123" s="37" t="s">
        <v>815</v>
      </c>
      <c r="D123" s="35" t="s">
        <v>773</v>
      </c>
    </row>
    <row r="124" spans="2:4" hidden="1" outlineLevel="1" x14ac:dyDescent="0.3">
      <c r="C124" s="37" t="s">
        <v>816</v>
      </c>
      <c r="D124" s="35" t="s">
        <v>774</v>
      </c>
    </row>
    <row r="125" spans="2:4" hidden="1" outlineLevel="1" x14ac:dyDescent="0.3">
      <c r="C125" s="37" t="s">
        <v>817</v>
      </c>
      <c r="D125" s="35" t="s">
        <v>775</v>
      </c>
    </row>
    <row r="126" spans="2:4" hidden="1" outlineLevel="1" x14ac:dyDescent="0.3">
      <c r="C126" s="37" t="s">
        <v>818</v>
      </c>
      <c r="D126" s="35" t="s">
        <v>776</v>
      </c>
    </row>
    <row r="127" spans="2:4" hidden="1" outlineLevel="1" x14ac:dyDescent="0.3">
      <c r="C127" s="37" t="s">
        <v>819</v>
      </c>
      <c r="D127" s="35" t="s">
        <v>777</v>
      </c>
    </row>
    <row r="128" spans="2:4" collapsed="1" x14ac:dyDescent="0.3">
      <c r="B128" s="43" t="s">
        <v>165</v>
      </c>
      <c r="C128" t="s">
        <v>137</v>
      </c>
    </row>
    <row r="129" spans="3:4" hidden="1" outlineLevel="1" x14ac:dyDescent="0.3">
      <c r="C129" s="40" t="s">
        <v>779</v>
      </c>
      <c r="D129" s="35" t="s">
        <v>745</v>
      </c>
    </row>
    <row r="130" spans="3:4" hidden="1" outlineLevel="1" x14ac:dyDescent="0.3">
      <c r="C130" s="41" t="s">
        <v>780</v>
      </c>
      <c r="D130" s="42" t="s">
        <v>820</v>
      </c>
    </row>
    <row r="131" spans="3:4" hidden="1" outlineLevel="1" x14ac:dyDescent="0.3">
      <c r="C131" s="40" t="s">
        <v>781</v>
      </c>
      <c r="D131" s="35" t="s">
        <v>746</v>
      </c>
    </row>
    <row r="132" spans="3:4" hidden="1" outlineLevel="1" x14ac:dyDescent="0.3">
      <c r="C132" s="41" t="s">
        <v>782</v>
      </c>
      <c r="D132" s="35" t="s">
        <v>367</v>
      </c>
    </row>
    <row r="133" spans="3:4" hidden="1" outlineLevel="1" x14ac:dyDescent="0.3">
      <c r="C133" s="41" t="s">
        <v>785</v>
      </c>
      <c r="D133" s="35" t="s">
        <v>68</v>
      </c>
    </row>
    <row r="134" spans="3:4" hidden="1" outlineLevel="1" x14ac:dyDescent="0.3">
      <c r="C134" s="41" t="s">
        <v>786</v>
      </c>
      <c r="D134" s="35" t="s">
        <v>747</v>
      </c>
    </row>
    <row r="135" spans="3:4" hidden="1" outlineLevel="1" x14ac:dyDescent="0.3">
      <c r="C135" s="41" t="s">
        <v>783</v>
      </c>
      <c r="D135" s="35" t="s">
        <v>11</v>
      </c>
    </row>
    <row r="136" spans="3:4" hidden="1" outlineLevel="1" x14ac:dyDescent="0.3">
      <c r="C136" s="41" t="s">
        <v>784</v>
      </c>
      <c r="D136" s="35" t="s">
        <v>125</v>
      </c>
    </row>
    <row r="137" spans="3:4" hidden="1" outlineLevel="1" x14ac:dyDescent="0.3">
      <c r="C137" s="41" t="s">
        <v>787</v>
      </c>
      <c r="D137" s="35" t="s">
        <v>748</v>
      </c>
    </row>
    <row r="138" spans="3:4" hidden="1" outlineLevel="1" x14ac:dyDescent="0.3">
      <c r="C138" s="37" t="s">
        <v>788</v>
      </c>
      <c r="D138" s="35" t="s">
        <v>517</v>
      </c>
    </row>
    <row r="139" spans="3:4" hidden="1" outlineLevel="1" x14ac:dyDescent="0.3">
      <c r="C139" s="37" t="s">
        <v>789</v>
      </c>
      <c r="D139" s="35" t="s">
        <v>386</v>
      </c>
    </row>
    <row r="140" spans="3:4" hidden="1" outlineLevel="1" x14ac:dyDescent="0.3">
      <c r="C140" s="37" t="s">
        <v>790</v>
      </c>
      <c r="D140" s="35" t="s">
        <v>299</v>
      </c>
    </row>
    <row r="141" spans="3:4" hidden="1" outlineLevel="1" x14ac:dyDescent="0.3">
      <c r="C141" s="37" t="s">
        <v>791</v>
      </c>
      <c r="D141" s="35" t="s">
        <v>749</v>
      </c>
    </row>
    <row r="142" spans="3:4" hidden="1" outlineLevel="1" x14ac:dyDescent="0.3">
      <c r="C142" s="37" t="s">
        <v>792</v>
      </c>
      <c r="D142" s="35" t="s">
        <v>750</v>
      </c>
    </row>
    <row r="143" spans="3:4" hidden="1" outlineLevel="1" x14ac:dyDescent="0.3">
      <c r="C143" s="37" t="s">
        <v>793</v>
      </c>
      <c r="D143" s="35" t="s">
        <v>751</v>
      </c>
    </row>
    <row r="144" spans="3:4" hidden="1" outlineLevel="1" x14ac:dyDescent="0.3">
      <c r="C144" s="37" t="s">
        <v>794</v>
      </c>
      <c r="D144" s="35" t="s">
        <v>752</v>
      </c>
    </row>
    <row r="145" spans="3:4" hidden="1" outlineLevel="1" x14ac:dyDescent="0.3">
      <c r="C145" s="37" t="s">
        <v>795</v>
      </c>
      <c r="D145" s="35" t="s">
        <v>753</v>
      </c>
    </row>
    <row r="146" spans="3:4" hidden="1" outlineLevel="1" x14ac:dyDescent="0.3">
      <c r="C146" s="37" t="s">
        <v>796</v>
      </c>
      <c r="D146" s="35" t="s">
        <v>754</v>
      </c>
    </row>
    <row r="147" spans="3:4" hidden="1" outlineLevel="1" x14ac:dyDescent="0.3">
      <c r="C147" s="37" t="s">
        <v>797</v>
      </c>
      <c r="D147" s="35" t="s">
        <v>755</v>
      </c>
    </row>
    <row r="148" spans="3:4" hidden="1" outlineLevel="1" x14ac:dyDescent="0.3">
      <c r="C148" s="37" t="s">
        <v>798</v>
      </c>
      <c r="D148" s="35" t="s">
        <v>756</v>
      </c>
    </row>
    <row r="149" spans="3:4" hidden="1" outlineLevel="1" x14ac:dyDescent="0.3">
      <c r="C149" s="37" t="s">
        <v>799</v>
      </c>
      <c r="D149" s="35" t="s">
        <v>757</v>
      </c>
    </row>
    <row r="150" spans="3:4" hidden="1" outlineLevel="1" x14ac:dyDescent="0.3">
      <c r="C150" s="37" t="s">
        <v>800</v>
      </c>
      <c r="D150" s="35" t="s">
        <v>758</v>
      </c>
    </row>
    <row r="151" spans="3:4" hidden="1" outlineLevel="1" x14ac:dyDescent="0.3">
      <c r="C151" s="37" t="s">
        <v>801</v>
      </c>
      <c r="D151" s="35" t="s">
        <v>759</v>
      </c>
    </row>
    <row r="152" spans="3:4" hidden="1" outlineLevel="1" x14ac:dyDescent="0.3">
      <c r="C152" s="37" t="s">
        <v>802</v>
      </c>
      <c r="D152" s="35" t="s">
        <v>760</v>
      </c>
    </row>
    <row r="153" spans="3:4" hidden="1" outlineLevel="1" x14ac:dyDescent="0.3">
      <c r="C153" s="37" t="s">
        <v>803</v>
      </c>
      <c r="D153" s="35" t="s">
        <v>761</v>
      </c>
    </row>
    <row r="154" spans="3:4" hidden="1" outlineLevel="1" x14ac:dyDescent="0.3">
      <c r="C154" s="37" t="s">
        <v>804</v>
      </c>
      <c r="D154" s="35" t="s">
        <v>762</v>
      </c>
    </row>
    <row r="155" spans="3:4" hidden="1" outlineLevel="1" x14ac:dyDescent="0.3">
      <c r="C155" s="37" t="s">
        <v>805</v>
      </c>
      <c r="D155" s="35" t="s">
        <v>763</v>
      </c>
    </row>
    <row r="156" spans="3:4" hidden="1" outlineLevel="1" x14ac:dyDescent="0.3">
      <c r="C156" s="37" t="s">
        <v>806</v>
      </c>
      <c r="D156" s="35" t="s">
        <v>764</v>
      </c>
    </row>
    <row r="157" spans="3:4" hidden="1" outlineLevel="1" x14ac:dyDescent="0.3">
      <c r="C157" s="37" t="s">
        <v>807</v>
      </c>
      <c r="D157" s="35" t="s">
        <v>765</v>
      </c>
    </row>
    <row r="158" spans="3:4" hidden="1" outlineLevel="1" x14ac:dyDescent="0.3">
      <c r="C158" s="37" t="s">
        <v>808</v>
      </c>
      <c r="D158" s="35" t="s">
        <v>766</v>
      </c>
    </row>
    <row r="159" spans="3:4" hidden="1" outlineLevel="1" x14ac:dyDescent="0.3">
      <c r="C159" s="37" t="s">
        <v>809</v>
      </c>
      <c r="D159" s="35" t="s">
        <v>767</v>
      </c>
    </row>
    <row r="160" spans="3:4" hidden="1" outlineLevel="1" x14ac:dyDescent="0.3">
      <c r="C160" s="37" t="s">
        <v>810</v>
      </c>
      <c r="D160" s="35" t="s">
        <v>768</v>
      </c>
    </row>
    <row r="161" spans="2:4" hidden="1" outlineLevel="1" x14ac:dyDescent="0.3">
      <c r="C161" s="37" t="s">
        <v>811</v>
      </c>
      <c r="D161" s="35" t="s">
        <v>769</v>
      </c>
    </row>
    <row r="162" spans="2:4" hidden="1" outlineLevel="1" x14ac:dyDescent="0.3">
      <c r="C162" s="37" t="s">
        <v>812</v>
      </c>
      <c r="D162" s="35" t="s">
        <v>770</v>
      </c>
    </row>
    <row r="163" spans="2:4" hidden="1" outlineLevel="1" x14ac:dyDescent="0.3">
      <c r="C163" s="37" t="s">
        <v>813</v>
      </c>
      <c r="D163" s="35" t="s">
        <v>771</v>
      </c>
    </row>
    <row r="164" spans="2:4" hidden="1" outlineLevel="1" x14ac:dyDescent="0.3">
      <c r="C164" s="37" t="s">
        <v>814</v>
      </c>
      <c r="D164" s="35" t="s">
        <v>772</v>
      </c>
    </row>
    <row r="165" spans="2:4" hidden="1" outlineLevel="1" x14ac:dyDescent="0.3">
      <c r="C165" s="37" t="s">
        <v>815</v>
      </c>
      <c r="D165" s="35" t="s">
        <v>773</v>
      </c>
    </row>
    <row r="166" spans="2:4" hidden="1" outlineLevel="1" x14ac:dyDescent="0.3">
      <c r="C166" s="37" t="s">
        <v>816</v>
      </c>
      <c r="D166" s="35" t="s">
        <v>774</v>
      </c>
    </row>
    <row r="167" spans="2:4" hidden="1" outlineLevel="1" x14ac:dyDescent="0.3">
      <c r="C167" s="37" t="s">
        <v>817</v>
      </c>
      <c r="D167" s="35" t="s">
        <v>775</v>
      </c>
    </row>
    <row r="168" spans="2:4" hidden="1" outlineLevel="1" x14ac:dyDescent="0.3">
      <c r="C168" s="37" t="s">
        <v>818</v>
      </c>
      <c r="D168" s="35" t="s">
        <v>776</v>
      </c>
    </row>
    <row r="169" spans="2:4" hidden="1" outlineLevel="1" x14ac:dyDescent="0.3">
      <c r="C169" s="37" t="s">
        <v>819</v>
      </c>
      <c r="D169" s="35" t="s">
        <v>777</v>
      </c>
    </row>
    <row r="170" spans="2:4" collapsed="1" x14ac:dyDescent="0.3">
      <c r="B170" s="43" t="s">
        <v>376</v>
      </c>
      <c r="C170" t="s">
        <v>137</v>
      </c>
    </row>
    <row r="171" spans="2:4" hidden="1" outlineLevel="1" x14ac:dyDescent="0.3">
      <c r="C171" s="40" t="s">
        <v>779</v>
      </c>
      <c r="D171" s="35" t="s">
        <v>745</v>
      </c>
    </row>
    <row r="172" spans="2:4" hidden="1" outlineLevel="1" x14ac:dyDescent="0.3">
      <c r="C172" s="41" t="s">
        <v>780</v>
      </c>
      <c r="D172" s="42" t="s">
        <v>820</v>
      </c>
    </row>
    <row r="173" spans="2:4" hidden="1" outlineLevel="1" x14ac:dyDescent="0.3">
      <c r="C173" s="40" t="s">
        <v>781</v>
      </c>
      <c r="D173" s="35" t="s">
        <v>746</v>
      </c>
    </row>
    <row r="174" spans="2:4" hidden="1" outlineLevel="1" x14ac:dyDescent="0.3">
      <c r="C174" s="41" t="s">
        <v>782</v>
      </c>
      <c r="D174" s="35" t="s">
        <v>367</v>
      </c>
    </row>
    <row r="175" spans="2:4" hidden="1" outlineLevel="1" x14ac:dyDescent="0.3">
      <c r="C175" s="41" t="s">
        <v>785</v>
      </c>
      <c r="D175" s="35" t="s">
        <v>68</v>
      </c>
    </row>
    <row r="176" spans="2:4" hidden="1" outlineLevel="1" x14ac:dyDescent="0.3">
      <c r="C176" s="41" t="s">
        <v>786</v>
      </c>
      <c r="D176" s="35" t="s">
        <v>747</v>
      </c>
    </row>
    <row r="177" spans="3:4" hidden="1" outlineLevel="1" x14ac:dyDescent="0.3">
      <c r="C177" s="41" t="s">
        <v>783</v>
      </c>
      <c r="D177" s="35" t="s">
        <v>11</v>
      </c>
    </row>
    <row r="178" spans="3:4" hidden="1" outlineLevel="1" x14ac:dyDescent="0.3">
      <c r="C178" s="41" t="s">
        <v>784</v>
      </c>
      <c r="D178" s="35" t="s">
        <v>125</v>
      </c>
    </row>
    <row r="179" spans="3:4" hidden="1" outlineLevel="1" x14ac:dyDescent="0.3">
      <c r="C179" s="41" t="s">
        <v>787</v>
      </c>
      <c r="D179" s="35" t="s">
        <v>748</v>
      </c>
    </row>
    <row r="180" spans="3:4" hidden="1" outlineLevel="1" x14ac:dyDescent="0.3">
      <c r="C180" s="37" t="s">
        <v>788</v>
      </c>
      <c r="D180" s="35" t="s">
        <v>517</v>
      </c>
    </row>
    <row r="181" spans="3:4" hidden="1" outlineLevel="1" x14ac:dyDescent="0.3">
      <c r="C181" s="37" t="s">
        <v>789</v>
      </c>
      <c r="D181" s="35" t="s">
        <v>386</v>
      </c>
    </row>
    <row r="182" spans="3:4" hidden="1" outlineLevel="1" x14ac:dyDescent="0.3">
      <c r="C182" s="37" t="s">
        <v>790</v>
      </c>
      <c r="D182" s="35" t="s">
        <v>299</v>
      </c>
    </row>
    <row r="183" spans="3:4" hidden="1" outlineLevel="1" x14ac:dyDescent="0.3">
      <c r="C183" s="37" t="s">
        <v>791</v>
      </c>
      <c r="D183" s="35" t="s">
        <v>749</v>
      </c>
    </row>
    <row r="184" spans="3:4" hidden="1" outlineLevel="1" x14ac:dyDescent="0.3">
      <c r="C184" s="37" t="s">
        <v>792</v>
      </c>
      <c r="D184" s="35" t="s">
        <v>750</v>
      </c>
    </row>
    <row r="185" spans="3:4" hidden="1" outlineLevel="1" x14ac:dyDescent="0.3">
      <c r="C185" s="37" t="s">
        <v>793</v>
      </c>
      <c r="D185" s="35" t="s">
        <v>751</v>
      </c>
    </row>
    <row r="186" spans="3:4" hidden="1" outlineLevel="1" x14ac:dyDescent="0.3">
      <c r="C186" s="37" t="s">
        <v>794</v>
      </c>
      <c r="D186" s="35" t="s">
        <v>752</v>
      </c>
    </row>
    <row r="187" spans="3:4" hidden="1" outlineLevel="1" x14ac:dyDescent="0.3">
      <c r="C187" s="37" t="s">
        <v>795</v>
      </c>
      <c r="D187" s="35" t="s">
        <v>753</v>
      </c>
    </row>
    <row r="188" spans="3:4" hidden="1" outlineLevel="1" x14ac:dyDescent="0.3">
      <c r="C188" s="37" t="s">
        <v>796</v>
      </c>
      <c r="D188" s="35" t="s">
        <v>754</v>
      </c>
    </row>
    <row r="189" spans="3:4" hidden="1" outlineLevel="1" x14ac:dyDescent="0.3">
      <c r="C189" s="37" t="s">
        <v>797</v>
      </c>
      <c r="D189" s="35" t="s">
        <v>755</v>
      </c>
    </row>
    <row r="190" spans="3:4" hidden="1" outlineLevel="1" x14ac:dyDescent="0.3">
      <c r="C190" s="37" t="s">
        <v>798</v>
      </c>
      <c r="D190" s="35" t="s">
        <v>756</v>
      </c>
    </row>
    <row r="191" spans="3:4" hidden="1" outlineLevel="1" x14ac:dyDescent="0.3">
      <c r="C191" s="37" t="s">
        <v>799</v>
      </c>
      <c r="D191" s="35" t="s">
        <v>757</v>
      </c>
    </row>
    <row r="192" spans="3:4" hidden="1" outlineLevel="1" x14ac:dyDescent="0.3">
      <c r="C192" s="37" t="s">
        <v>800</v>
      </c>
      <c r="D192" s="35" t="s">
        <v>758</v>
      </c>
    </row>
    <row r="193" spans="3:4" hidden="1" outlineLevel="1" x14ac:dyDescent="0.3">
      <c r="C193" s="37" t="s">
        <v>801</v>
      </c>
      <c r="D193" s="35" t="s">
        <v>759</v>
      </c>
    </row>
    <row r="194" spans="3:4" hidden="1" outlineLevel="1" x14ac:dyDescent="0.3">
      <c r="C194" s="37" t="s">
        <v>802</v>
      </c>
      <c r="D194" s="35" t="s">
        <v>760</v>
      </c>
    </row>
    <row r="195" spans="3:4" hidden="1" outlineLevel="1" x14ac:dyDescent="0.3">
      <c r="C195" s="37" t="s">
        <v>803</v>
      </c>
      <c r="D195" s="35" t="s">
        <v>761</v>
      </c>
    </row>
    <row r="196" spans="3:4" hidden="1" outlineLevel="1" x14ac:dyDescent="0.3">
      <c r="C196" s="37" t="s">
        <v>804</v>
      </c>
      <c r="D196" s="35" t="s">
        <v>762</v>
      </c>
    </row>
    <row r="197" spans="3:4" hidden="1" outlineLevel="1" x14ac:dyDescent="0.3">
      <c r="C197" s="37" t="s">
        <v>805</v>
      </c>
      <c r="D197" s="35" t="s">
        <v>763</v>
      </c>
    </row>
    <row r="198" spans="3:4" hidden="1" outlineLevel="1" x14ac:dyDescent="0.3">
      <c r="C198" s="37" t="s">
        <v>806</v>
      </c>
      <c r="D198" s="35" t="s">
        <v>764</v>
      </c>
    </row>
    <row r="199" spans="3:4" hidden="1" outlineLevel="1" x14ac:dyDescent="0.3">
      <c r="C199" s="37" t="s">
        <v>807</v>
      </c>
      <c r="D199" s="35" t="s">
        <v>765</v>
      </c>
    </row>
    <row r="200" spans="3:4" hidden="1" outlineLevel="1" x14ac:dyDescent="0.3">
      <c r="C200" s="37" t="s">
        <v>808</v>
      </c>
      <c r="D200" s="35" t="s">
        <v>766</v>
      </c>
    </row>
    <row r="201" spans="3:4" hidden="1" outlineLevel="1" x14ac:dyDescent="0.3">
      <c r="C201" s="37" t="s">
        <v>809</v>
      </c>
      <c r="D201" s="35" t="s">
        <v>767</v>
      </c>
    </row>
    <row r="202" spans="3:4" hidden="1" outlineLevel="1" x14ac:dyDescent="0.3">
      <c r="C202" s="37" t="s">
        <v>810</v>
      </c>
      <c r="D202" s="35" t="s">
        <v>768</v>
      </c>
    </row>
    <row r="203" spans="3:4" hidden="1" outlineLevel="1" x14ac:dyDescent="0.3">
      <c r="C203" s="37" t="s">
        <v>811</v>
      </c>
      <c r="D203" s="35" t="s">
        <v>769</v>
      </c>
    </row>
    <row r="204" spans="3:4" hidden="1" outlineLevel="1" x14ac:dyDescent="0.3">
      <c r="C204" s="37" t="s">
        <v>812</v>
      </c>
      <c r="D204" s="35" t="s">
        <v>770</v>
      </c>
    </row>
    <row r="205" spans="3:4" hidden="1" outlineLevel="1" x14ac:dyDescent="0.3">
      <c r="C205" s="37" t="s">
        <v>813</v>
      </c>
      <c r="D205" s="35" t="s">
        <v>771</v>
      </c>
    </row>
    <row r="206" spans="3:4" hidden="1" outlineLevel="1" x14ac:dyDescent="0.3">
      <c r="C206" s="37" t="s">
        <v>814</v>
      </c>
      <c r="D206" s="35" t="s">
        <v>772</v>
      </c>
    </row>
    <row r="207" spans="3:4" hidden="1" outlineLevel="1" x14ac:dyDescent="0.3">
      <c r="C207" s="37" t="s">
        <v>815</v>
      </c>
      <c r="D207" s="35" t="s">
        <v>773</v>
      </c>
    </row>
    <row r="208" spans="3:4" hidden="1" outlineLevel="1" x14ac:dyDescent="0.3">
      <c r="C208" s="37" t="s">
        <v>816</v>
      </c>
      <c r="D208" s="35" t="s">
        <v>774</v>
      </c>
    </row>
    <row r="209" spans="2:4" hidden="1" outlineLevel="1" x14ac:dyDescent="0.3">
      <c r="C209" s="37" t="s">
        <v>817</v>
      </c>
      <c r="D209" s="35" t="s">
        <v>775</v>
      </c>
    </row>
    <row r="210" spans="2:4" hidden="1" outlineLevel="1" x14ac:dyDescent="0.3">
      <c r="C210" s="37" t="s">
        <v>818</v>
      </c>
      <c r="D210" s="35" t="s">
        <v>776</v>
      </c>
    </row>
    <row r="211" spans="2:4" hidden="1" outlineLevel="1" x14ac:dyDescent="0.3">
      <c r="C211" s="37" t="s">
        <v>819</v>
      </c>
      <c r="D211" s="35" t="s">
        <v>777</v>
      </c>
    </row>
    <row r="212" spans="2:4" collapsed="1" x14ac:dyDescent="0.3">
      <c r="B212" s="43" t="s">
        <v>167</v>
      </c>
      <c r="C212" t="s">
        <v>137</v>
      </c>
    </row>
    <row r="213" spans="2:4" hidden="1" outlineLevel="1" x14ac:dyDescent="0.3">
      <c r="C213" s="40" t="s">
        <v>779</v>
      </c>
      <c r="D213" s="35" t="s">
        <v>745</v>
      </c>
    </row>
    <row r="214" spans="2:4" hidden="1" outlineLevel="1" x14ac:dyDescent="0.3">
      <c r="C214" s="41" t="s">
        <v>780</v>
      </c>
      <c r="D214" s="42" t="s">
        <v>820</v>
      </c>
    </row>
    <row r="215" spans="2:4" hidden="1" outlineLevel="1" x14ac:dyDescent="0.3">
      <c r="C215" s="40" t="s">
        <v>781</v>
      </c>
      <c r="D215" s="35" t="s">
        <v>746</v>
      </c>
    </row>
    <row r="216" spans="2:4" hidden="1" outlineLevel="1" x14ac:dyDescent="0.3">
      <c r="C216" s="41" t="s">
        <v>782</v>
      </c>
      <c r="D216" s="35" t="s">
        <v>367</v>
      </c>
    </row>
    <row r="217" spans="2:4" hidden="1" outlineLevel="1" x14ac:dyDescent="0.3">
      <c r="C217" s="41" t="s">
        <v>785</v>
      </c>
      <c r="D217" s="35" t="s">
        <v>68</v>
      </c>
    </row>
    <row r="218" spans="2:4" hidden="1" outlineLevel="1" x14ac:dyDescent="0.3">
      <c r="C218" s="41" t="s">
        <v>786</v>
      </c>
      <c r="D218" s="35" t="s">
        <v>747</v>
      </c>
    </row>
    <row r="219" spans="2:4" hidden="1" outlineLevel="1" x14ac:dyDescent="0.3">
      <c r="C219" s="41" t="s">
        <v>783</v>
      </c>
      <c r="D219" s="35" t="s">
        <v>11</v>
      </c>
    </row>
    <row r="220" spans="2:4" hidden="1" outlineLevel="1" x14ac:dyDescent="0.3">
      <c r="C220" s="41" t="s">
        <v>784</v>
      </c>
      <c r="D220" s="35" t="s">
        <v>125</v>
      </c>
    </row>
    <row r="221" spans="2:4" hidden="1" outlineLevel="1" x14ac:dyDescent="0.3">
      <c r="C221" s="41" t="s">
        <v>787</v>
      </c>
      <c r="D221" s="35" t="s">
        <v>748</v>
      </c>
    </row>
    <row r="222" spans="2:4" hidden="1" outlineLevel="1" x14ac:dyDescent="0.3">
      <c r="C222" s="37" t="s">
        <v>788</v>
      </c>
      <c r="D222" s="35" t="s">
        <v>517</v>
      </c>
    </row>
    <row r="223" spans="2:4" hidden="1" outlineLevel="1" x14ac:dyDescent="0.3">
      <c r="C223" s="37" t="s">
        <v>789</v>
      </c>
      <c r="D223" s="35" t="s">
        <v>386</v>
      </c>
    </row>
    <row r="224" spans="2:4" hidden="1" outlineLevel="1" x14ac:dyDescent="0.3">
      <c r="C224" s="37" t="s">
        <v>790</v>
      </c>
      <c r="D224" s="35" t="s">
        <v>299</v>
      </c>
    </row>
    <row r="225" spans="3:4" hidden="1" outlineLevel="1" x14ac:dyDescent="0.3">
      <c r="C225" s="37" t="s">
        <v>791</v>
      </c>
      <c r="D225" s="35" t="s">
        <v>749</v>
      </c>
    </row>
    <row r="226" spans="3:4" hidden="1" outlineLevel="1" x14ac:dyDescent="0.3">
      <c r="C226" s="37" t="s">
        <v>792</v>
      </c>
      <c r="D226" s="35" t="s">
        <v>750</v>
      </c>
    </row>
    <row r="227" spans="3:4" hidden="1" outlineLevel="1" x14ac:dyDescent="0.3">
      <c r="C227" s="37" t="s">
        <v>793</v>
      </c>
      <c r="D227" s="35" t="s">
        <v>751</v>
      </c>
    </row>
    <row r="228" spans="3:4" hidden="1" outlineLevel="1" x14ac:dyDescent="0.3">
      <c r="C228" s="37" t="s">
        <v>794</v>
      </c>
      <c r="D228" s="35" t="s">
        <v>752</v>
      </c>
    </row>
    <row r="229" spans="3:4" hidden="1" outlineLevel="1" x14ac:dyDescent="0.3">
      <c r="C229" s="37" t="s">
        <v>795</v>
      </c>
      <c r="D229" s="35" t="s">
        <v>753</v>
      </c>
    </row>
    <row r="230" spans="3:4" hidden="1" outlineLevel="1" x14ac:dyDescent="0.3">
      <c r="C230" s="37" t="s">
        <v>796</v>
      </c>
      <c r="D230" s="35" t="s">
        <v>754</v>
      </c>
    </row>
    <row r="231" spans="3:4" hidden="1" outlineLevel="1" x14ac:dyDescent="0.3">
      <c r="C231" s="37" t="s">
        <v>797</v>
      </c>
      <c r="D231" s="35" t="s">
        <v>755</v>
      </c>
    </row>
    <row r="232" spans="3:4" hidden="1" outlineLevel="1" x14ac:dyDescent="0.3">
      <c r="C232" s="37" t="s">
        <v>798</v>
      </c>
      <c r="D232" s="35" t="s">
        <v>756</v>
      </c>
    </row>
    <row r="233" spans="3:4" hidden="1" outlineLevel="1" x14ac:dyDescent="0.3">
      <c r="C233" s="37" t="s">
        <v>799</v>
      </c>
      <c r="D233" s="35" t="s">
        <v>757</v>
      </c>
    </row>
    <row r="234" spans="3:4" hidden="1" outlineLevel="1" x14ac:dyDescent="0.3">
      <c r="C234" s="37" t="s">
        <v>800</v>
      </c>
      <c r="D234" s="35" t="s">
        <v>758</v>
      </c>
    </row>
    <row r="235" spans="3:4" hidden="1" outlineLevel="1" x14ac:dyDescent="0.3">
      <c r="C235" s="37" t="s">
        <v>801</v>
      </c>
      <c r="D235" s="35" t="s">
        <v>759</v>
      </c>
    </row>
    <row r="236" spans="3:4" hidden="1" outlineLevel="1" x14ac:dyDescent="0.3">
      <c r="C236" s="37" t="s">
        <v>802</v>
      </c>
      <c r="D236" s="35" t="s">
        <v>760</v>
      </c>
    </row>
    <row r="237" spans="3:4" hidden="1" outlineLevel="1" x14ac:dyDescent="0.3">
      <c r="C237" s="37" t="s">
        <v>803</v>
      </c>
      <c r="D237" s="35" t="s">
        <v>761</v>
      </c>
    </row>
    <row r="238" spans="3:4" hidden="1" outlineLevel="1" x14ac:dyDescent="0.3">
      <c r="C238" s="37" t="s">
        <v>804</v>
      </c>
      <c r="D238" s="35" t="s">
        <v>762</v>
      </c>
    </row>
    <row r="239" spans="3:4" hidden="1" outlineLevel="1" x14ac:dyDescent="0.3">
      <c r="C239" s="37" t="s">
        <v>805</v>
      </c>
      <c r="D239" s="35" t="s">
        <v>763</v>
      </c>
    </row>
    <row r="240" spans="3:4" hidden="1" outlineLevel="1" x14ac:dyDescent="0.3">
      <c r="C240" s="37" t="s">
        <v>806</v>
      </c>
      <c r="D240" s="35" t="s">
        <v>764</v>
      </c>
    </row>
    <row r="241" spans="2:4" hidden="1" outlineLevel="1" x14ac:dyDescent="0.3">
      <c r="C241" s="37" t="s">
        <v>807</v>
      </c>
      <c r="D241" s="35" t="s">
        <v>765</v>
      </c>
    </row>
    <row r="242" spans="2:4" hidden="1" outlineLevel="1" x14ac:dyDescent="0.3">
      <c r="C242" s="37" t="s">
        <v>808</v>
      </c>
      <c r="D242" s="35" t="s">
        <v>766</v>
      </c>
    </row>
    <row r="243" spans="2:4" hidden="1" outlineLevel="1" x14ac:dyDescent="0.3">
      <c r="C243" s="37" t="s">
        <v>809</v>
      </c>
      <c r="D243" s="35" t="s">
        <v>767</v>
      </c>
    </row>
    <row r="244" spans="2:4" hidden="1" outlineLevel="1" x14ac:dyDescent="0.3">
      <c r="C244" s="37" t="s">
        <v>810</v>
      </c>
      <c r="D244" s="35" t="s">
        <v>768</v>
      </c>
    </row>
    <row r="245" spans="2:4" hidden="1" outlineLevel="1" x14ac:dyDescent="0.3">
      <c r="C245" s="37" t="s">
        <v>811</v>
      </c>
      <c r="D245" s="35" t="s">
        <v>769</v>
      </c>
    </row>
    <row r="246" spans="2:4" hidden="1" outlineLevel="1" x14ac:dyDescent="0.3">
      <c r="C246" s="37" t="s">
        <v>812</v>
      </c>
      <c r="D246" s="35" t="s">
        <v>770</v>
      </c>
    </row>
    <row r="247" spans="2:4" hidden="1" outlineLevel="1" x14ac:dyDescent="0.3">
      <c r="C247" s="37" t="s">
        <v>813</v>
      </c>
      <c r="D247" s="35" t="s">
        <v>771</v>
      </c>
    </row>
    <row r="248" spans="2:4" hidden="1" outlineLevel="1" x14ac:dyDescent="0.3">
      <c r="C248" s="37" t="s">
        <v>814</v>
      </c>
      <c r="D248" s="35" t="s">
        <v>772</v>
      </c>
    </row>
    <row r="249" spans="2:4" hidden="1" outlineLevel="1" x14ac:dyDescent="0.3">
      <c r="C249" s="37" t="s">
        <v>815</v>
      </c>
      <c r="D249" s="35" t="s">
        <v>773</v>
      </c>
    </row>
    <row r="250" spans="2:4" hidden="1" outlineLevel="1" x14ac:dyDescent="0.3">
      <c r="C250" s="37" t="s">
        <v>816</v>
      </c>
      <c r="D250" s="35" t="s">
        <v>774</v>
      </c>
    </row>
    <row r="251" spans="2:4" hidden="1" outlineLevel="1" x14ac:dyDescent="0.3">
      <c r="C251" s="37" t="s">
        <v>817</v>
      </c>
      <c r="D251" s="35" t="s">
        <v>775</v>
      </c>
    </row>
    <row r="252" spans="2:4" hidden="1" outlineLevel="1" x14ac:dyDescent="0.3">
      <c r="C252" s="37" t="s">
        <v>818</v>
      </c>
      <c r="D252" s="35" t="s">
        <v>776</v>
      </c>
    </row>
    <row r="253" spans="2:4" hidden="1" outlineLevel="1" x14ac:dyDescent="0.3">
      <c r="C253" s="37" t="s">
        <v>819</v>
      </c>
      <c r="D253" s="35" t="s">
        <v>777</v>
      </c>
    </row>
    <row r="254" spans="2:4" collapsed="1" x14ac:dyDescent="0.3">
      <c r="B254" s="43" t="s">
        <v>136</v>
      </c>
      <c r="C254" t="s">
        <v>137</v>
      </c>
    </row>
    <row r="255" spans="2:4" hidden="1" outlineLevel="1" x14ac:dyDescent="0.3">
      <c r="C255" s="40" t="s">
        <v>779</v>
      </c>
      <c r="D255" s="35" t="s">
        <v>745</v>
      </c>
    </row>
    <row r="256" spans="2:4" hidden="1" outlineLevel="1" x14ac:dyDescent="0.3">
      <c r="C256" s="41" t="s">
        <v>780</v>
      </c>
      <c r="D256" s="42" t="s">
        <v>820</v>
      </c>
    </row>
    <row r="257" spans="3:4" hidden="1" outlineLevel="1" x14ac:dyDescent="0.3">
      <c r="C257" s="40" t="s">
        <v>781</v>
      </c>
      <c r="D257" s="35" t="s">
        <v>746</v>
      </c>
    </row>
    <row r="258" spans="3:4" hidden="1" outlineLevel="1" x14ac:dyDescent="0.3">
      <c r="C258" s="41" t="s">
        <v>782</v>
      </c>
      <c r="D258" s="35" t="s">
        <v>367</v>
      </c>
    </row>
    <row r="259" spans="3:4" hidden="1" outlineLevel="1" x14ac:dyDescent="0.3">
      <c r="C259" s="41" t="s">
        <v>785</v>
      </c>
      <c r="D259" s="35" t="s">
        <v>68</v>
      </c>
    </row>
    <row r="260" spans="3:4" hidden="1" outlineLevel="1" x14ac:dyDescent="0.3">
      <c r="C260" s="41" t="s">
        <v>786</v>
      </c>
      <c r="D260" s="35" t="s">
        <v>747</v>
      </c>
    </row>
    <row r="261" spans="3:4" hidden="1" outlineLevel="1" x14ac:dyDescent="0.3">
      <c r="C261" s="41" t="s">
        <v>783</v>
      </c>
      <c r="D261" s="35" t="s">
        <v>11</v>
      </c>
    </row>
    <row r="262" spans="3:4" hidden="1" outlineLevel="1" x14ac:dyDescent="0.3">
      <c r="C262" s="41" t="s">
        <v>784</v>
      </c>
      <c r="D262" s="35" t="s">
        <v>125</v>
      </c>
    </row>
    <row r="263" spans="3:4" hidden="1" outlineLevel="1" x14ac:dyDescent="0.3">
      <c r="C263" s="41" t="s">
        <v>787</v>
      </c>
      <c r="D263" s="35" t="s">
        <v>748</v>
      </c>
    </row>
    <row r="264" spans="3:4" hidden="1" outlineLevel="1" x14ac:dyDescent="0.3">
      <c r="C264" s="37" t="s">
        <v>788</v>
      </c>
      <c r="D264" s="35" t="s">
        <v>517</v>
      </c>
    </row>
    <row r="265" spans="3:4" hidden="1" outlineLevel="1" x14ac:dyDescent="0.3">
      <c r="C265" s="37" t="s">
        <v>789</v>
      </c>
      <c r="D265" s="35" t="s">
        <v>386</v>
      </c>
    </row>
    <row r="266" spans="3:4" hidden="1" outlineLevel="1" x14ac:dyDescent="0.3">
      <c r="C266" s="37" t="s">
        <v>790</v>
      </c>
      <c r="D266" s="35" t="s">
        <v>299</v>
      </c>
    </row>
    <row r="267" spans="3:4" hidden="1" outlineLevel="1" x14ac:dyDescent="0.3">
      <c r="C267" s="37" t="s">
        <v>791</v>
      </c>
      <c r="D267" s="35" t="s">
        <v>749</v>
      </c>
    </row>
    <row r="268" spans="3:4" hidden="1" outlineLevel="1" x14ac:dyDescent="0.3">
      <c r="C268" s="37" t="s">
        <v>792</v>
      </c>
      <c r="D268" s="35" t="s">
        <v>750</v>
      </c>
    </row>
    <row r="269" spans="3:4" hidden="1" outlineLevel="1" x14ac:dyDescent="0.3">
      <c r="C269" s="37" t="s">
        <v>793</v>
      </c>
      <c r="D269" s="35" t="s">
        <v>751</v>
      </c>
    </row>
    <row r="270" spans="3:4" hidden="1" outlineLevel="1" x14ac:dyDescent="0.3">
      <c r="C270" s="37" t="s">
        <v>794</v>
      </c>
      <c r="D270" s="35" t="s">
        <v>752</v>
      </c>
    </row>
    <row r="271" spans="3:4" hidden="1" outlineLevel="1" x14ac:dyDescent="0.3">
      <c r="C271" s="37" t="s">
        <v>795</v>
      </c>
      <c r="D271" s="35" t="s">
        <v>753</v>
      </c>
    </row>
    <row r="272" spans="3:4" hidden="1" outlineLevel="1" x14ac:dyDescent="0.3">
      <c r="C272" s="37" t="s">
        <v>796</v>
      </c>
      <c r="D272" s="35" t="s">
        <v>754</v>
      </c>
    </row>
    <row r="273" spans="3:4" hidden="1" outlineLevel="1" x14ac:dyDescent="0.3">
      <c r="C273" s="37" t="s">
        <v>797</v>
      </c>
      <c r="D273" s="35" t="s">
        <v>755</v>
      </c>
    </row>
    <row r="274" spans="3:4" hidden="1" outlineLevel="1" x14ac:dyDescent="0.3">
      <c r="C274" s="37" t="s">
        <v>798</v>
      </c>
      <c r="D274" s="35" t="s">
        <v>756</v>
      </c>
    </row>
    <row r="275" spans="3:4" hidden="1" outlineLevel="1" x14ac:dyDescent="0.3">
      <c r="C275" s="37" t="s">
        <v>799</v>
      </c>
      <c r="D275" s="35" t="s">
        <v>757</v>
      </c>
    </row>
    <row r="276" spans="3:4" hidden="1" outlineLevel="1" x14ac:dyDescent="0.3">
      <c r="C276" s="37" t="s">
        <v>800</v>
      </c>
      <c r="D276" s="35" t="s">
        <v>758</v>
      </c>
    </row>
    <row r="277" spans="3:4" hidden="1" outlineLevel="1" x14ac:dyDescent="0.3">
      <c r="C277" s="37" t="s">
        <v>801</v>
      </c>
      <c r="D277" s="35" t="s">
        <v>759</v>
      </c>
    </row>
    <row r="278" spans="3:4" hidden="1" outlineLevel="1" x14ac:dyDescent="0.3">
      <c r="C278" s="37" t="s">
        <v>802</v>
      </c>
      <c r="D278" s="35" t="s">
        <v>760</v>
      </c>
    </row>
    <row r="279" spans="3:4" hidden="1" outlineLevel="1" x14ac:dyDescent="0.3">
      <c r="C279" s="37" t="s">
        <v>803</v>
      </c>
      <c r="D279" s="35" t="s">
        <v>761</v>
      </c>
    </row>
    <row r="280" spans="3:4" hidden="1" outlineLevel="1" x14ac:dyDescent="0.3">
      <c r="C280" s="37" t="s">
        <v>804</v>
      </c>
      <c r="D280" s="35" t="s">
        <v>762</v>
      </c>
    </row>
    <row r="281" spans="3:4" hidden="1" outlineLevel="1" x14ac:dyDescent="0.3">
      <c r="C281" s="37" t="s">
        <v>805</v>
      </c>
      <c r="D281" s="35" t="s">
        <v>763</v>
      </c>
    </row>
    <row r="282" spans="3:4" hidden="1" outlineLevel="1" x14ac:dyDescent="0.3">
      <c r="C282" s="37" t="s">
        <v>806</v>
      </c>
      <c r="D282" s="35" t="s">
        <v>764</v>
      </c>
    </row>
    <row r="283" spans="3:4" hidden="1" outlineLevel="1" x14ac:dyDescent="0.3">
      <c r="C283" s="37" t="s">
        <v>807</v>
      </c>
      <c r="D283" s="35" t="s">
        <v>765</v>
      </c>
    </row>
    <row r="284" spans="3:4" hidden="1" outlineLevel="1" x14ac:dyDescent="0.3">
      <c r="C284" s="37" t="s">
        <v>808</v>
      </c>
      <c r="D284" s="35" t="s">
        <v>766</v>
      </c>
    </row>
    <row r="285" spans="3:4" hidden="1" outlineLevel="1" x14ac:dyDescent="0.3">
      <c r="C285" s="37" t="s">
        <v>809</v>
      </c>
      <c r="D285" s="35" t="s">
        <v>767</v>
      </c>
    </row>
    <row r="286" spans="3:4" hidden="1" outlineLevel="1" x14ac:dyDescent="0.3">
      <c r="C286" s="37" t="s">
        <v>810</v>
      </c>
      <c r="D286" s="35" t="s">
        <v>768</v>
      </c>
    </row>
    <row r="287" spans="3:4" hidden="1" outlineLevel="1" x14ac:dyDescent="0.3">
      <c r="C287" s="37" t="s">
        <v>811</v>
      </c>
      <c r="D287" s="35" t="s">
        <v>769</v>
      </c>
    </row>
    <row r="288" spans="3:4" hidden="1" outlineLevel="1" x14ac:dyDescent="0.3">
      <c r="C288" s="37" t="s">
        <v>812</v>
      </c>
      <c r="D288" s="35" t="s">
        <v>770</v>
      </c>
    </row>
    <row r="289" spans="2:4" hidden="1" outlineLevel="1" x14ac:dyDescent="0.3">
      <c r="C289" s="37" t="s">
        <v>813</v>
      </c>
      <c r="D289" s="35" t="s">
        <v>771</v>
      </c>
    </row>
    <row r="290" spans="2:4" hidden="1" outlineLevel="1" x14ac:dyDescent="0.3">
      <c r="C290" s="37" t="s">
        <v>814</v>
      </c>
      <c r="D290" s="35" t="s">
        <v>772</v>
      </c>
    </row>
    <row r="291" spans="2:4" hidden="1" outlineLevel="1" x14ac:dyDescent="0.3">
      <c r="C291" s="37" t="s">
        <v>815</v>
      </c>
      <c r="D291" s="35" t="s">
        <v>773</v>
      </c>
    </row>
    <row r="292" spans="2:4" hidden="1" outlineLevel="1" x14ac:dyDescent="0.3">
      <c r="C292" s="37" t="s">
        <v>816</v>
      </c>
      <c r="D292" s="35" t="s">
        <v>774</v>
      </c>
    </row>
    <row r="293" spans="2:4" hidden="1" outlineLevel="1" x14ac:dyDescent="0.3">
      <c r="C293" s="37" t="s">
        <v>817</v>
      </c>
      <c r="D293" s="35" t="s">
        <v>775</v>
      </c>
    </row>
    <row r="294" spans="2:4" hidden="1" outlineLevel="1" x14ac:dyDescent="0.3">
      <c r="C294" s="37" t="s">
        <v>818</v>
      </c>
      <c r="D294" s="35" t="s">
        <v>776</v>
      </c>
    </row>
    <row r="295" spans="2:4" hidden="1" outlineLevel="1" x14ac:dyDescent="0.3">
      <c r="C295" s="37" t="s">
        <v>819</v>
      </c>
      <c r="D295" s="35" t="s">
        <v>777</v>
      </c>
    </row>
    <row r="296" spans="2:4" collapsed="1" x14ac:dyDescent="0.3">
      <c r="B296" s="43" t="s">
        <v>360</v>
      </c>
      <c r="C296" t="s">
        <v>18</v>
      </c>
    </row>
    <row r="297" spans="2:4" hidden="1" outlineLevel="1" x14ac:dyDescent="0.3">
      <c r="C297" s="40" t="s">
        <v>779</v>
      </c>
      <c r="D297" s="35" t="s">
        <v>745</v>
      </c>
    </row>
    <row r="298" spans="2:4" hidden="1" outlineLevel="1" x14ac:dyDescent="0.3">
      <c r="C298" s="41" t="s">
        <v>780</v>
      </c>
      <c r="D298" s="42" t="s">
        <v>820</v>
      </c>
    </row>
    <row r="299" spans="2:4" hidden="1" outlineLevel="1" x14ac:dyDescent="0.3">
      <c r="C299" s="40" t="s">
        <v>781</v>
      </c>
      <c r="D299" s="35" t="s">
        <v>746</v>
      </c>
    </row>
    <row r="300" spans="2:4" hidden="1" outlineLevel="1" x14ac:dyDescent="0.3">
      <c r="C300" s="41" t="s">
        <v>782</v>
      </c>
      <c r="D300" s="35" t="s">
        <v>367</v>
      </c>
    </row>
    <row r="301" spans="2:4" hidden="1" outlineLevel="1" x14ac:dyDescent="0.3">
      <c r="C301" s="41" t="s">
        <v>785</v>
      </c>
      <c r="D301" s="35" t="s">
        <v>68</v>
      </c>
    </row>
    <row r="302" spans="2:4" hidden="1" outlineLevel="1" x14ac:dyDescent="0.3">
      <c r="C302" s="41" t="s">
        <v>786</v>
      </c>
      <c r="D302" s="35" t="s">
        <v>747</v>
      </c>
    </row>
    <row r="303" spans="2:4" hidden="1" outlineLevel="1" x14ac:dyDescent="0.3">
      <c r="C303" s="41" t="s">
        <v>783</v>
      </c>
      <c r="D303" s="35" t="s">
        <v>11</v>
      </c>
    </row>
    <row r="304" spans="2:4" hidden="1" outlineLevel="1" x14ac:dyDescent="0.3">
      <c r="C304" s="41" t="s">
        <v>784</v>
      </c>
      <c r="D304" s="35" t="s">
        <v>125</v>
      </c>
    </row>
    <row r="305" spans="3:4" hidden="1" outlineLevel="1" x14ac:dyDescent="0.3">
      <c r="C305" s="41" t="s">
        <v>787</v>
      </c>
      <c r="D305" s="35" t="s">
        <v>748</v>
      </c>
    </row>
    <row r="306" spans="3:4" hidden="1" outlineLevel="1" x14ac:dyDescent="0.3">
      <c r="C306" s="37" t="s">
        <v>788</v>
      </c>
      <c r="D306" s="35" t="s">
        <v>517</v>
      </c>
    </row>
    <row r="307" spans="3:4" hidden="1" outlineLevel="1" x14ac:dyDescent="0.3">
      <c r="C307" s="37" t="s">
        <v>789</v>
      </c>
      <c r="D307" s="35" t="s">
        <v>386</v>
      </c>
    </row>
    <row r="308" spans="3:4" hidden="1" outlineLevel="1" x14ac:dyDescent="0.3">
      <c r="C308" s="37" t="s">
        <v>790</v>
      </c>
      <c r="D308" s="35" t="s">
        <v>299</v>
      </c>
    </row>
    <row r="309" spans="3:4" hidden="1" outlineLevel="1" x14ac:dyDescent="0.3">
      <c r="C309" s="37" t="s">
        <v>791</v>
      </c>
      <c r="D309" s="35" t="s">
        <v>749</v>
      </c>
    </row>
    <row r="310" spans="3:4" hidden="1" outlineLevel="1" x14ac:dyDescent="0.3">
      <c r="C310" s="37" t="s">
        <v>792</v>
      </c>
      <c r="D310" s="35" t="s">
        <v>750</v>
      </c>
    </row>
    <row r="311" spans="3:4" hidden="1" outlineLevel="1" x14ac:dyDescent="0.3">
      <c r="C311" s="37" t="s">
        <v>793</v>
      </c>
      <c r="D311" s="35" t="s">
        <v>751</v>
      </c>
    </row>
    <row r="312" spans="3:4" hidden="1" outlineLevel="1" x14ac:dyDescent="0.3">
      <c r="C312" s="37" t="s">
        <v>794</v>
      </c>
      <c r="D312" s="35" t="s">
        <v>752</v>
      </c>
    </row>
    <row r="313" spans="3:4" hidden="1" outlineLevel="1" x14ac:dyDescent="0.3">
      <c r="C313" s="37" t="s">
        <v>795</v>
      </c>
      <c r="D313" s="35" t="s">
        <v>753</v>
      </c>
    </row>
    <row r="314" spans="3:4" hidden="1" outlineLevel="1" x14ac:dyDescent="0.3">
      <c r="C314" s="37" t="s">
        <v>796</v>
      </c>
      <c r="D314" s="35" t="s">
        <v>754</v>
      </c>
    </row>
    <row r="315" spans="3:4" hidden="1" outlineLevel="1" x14ac:dyDescent="0.3">
      <c r="C315" s="37" t="s">
        <v>797</v>
      </c>
      <c r="D315" s="35" t="s">
        <v>755</v>
      </c>
    </row>
    <row r="316" spans="3:4" hidden="1" outlineLevel="1" x14ac:dyDescent="0.3">
      <c r="C316" s="37" t="s">
        <v>798</v>
      </c>
      <c r="D316" s="35" t="s">
        <v>756</v>
      </c>
    </row>
    <row r="317" spans="3:4" hidden="1" outlineLevel="1" x14ac:dyDescent="0.3">
      <c r="C317" s="37" t="s">
        <v>799</v>
      </c>
      <c r="D317" s="35" t="s">
        <v>757</v>
      </c>
    </row>
    <row r="318" spans="3:4" hidden="1" outlineLevel="1" x14ac:dyDescent="0.3">
      <c r="C318" s="37" t="s">
        <v>800</v>
      </c>
      <c r="D318" s="35" t="s">
        <v>758</v>
      </c>
    </row>
    <row r="319" spans="3:4" hidden="1" outlineLevel="1" x14ac:dyDescent="0.3">
      <c r="C319" s="37" t="s">
        <v>801</v>
      </c>
      <c r="D319" s="35" t="s">
        <v>759</v>
      </c>
    </row>
    <row r="320" spans="3:4" hidden="1" outlineLevel="1" x14ac:dyDescent="0.3">
      <c r="C320" s="37" t="s">
        <v>802</v>
      </c>
      <c r="D320" s="35" t="s">
        <v>760</v>
      </c>
    </row>
    <row r="321" spans="3:4" hidden="1" outlineLevel="1" x14ac:dyDescent="0.3">
      <c r="C321" s="37" t="s">
        <v>803</v>
      </c>
      <c r="D321" s="35" t="s">
        <v>761</v>
      </c>
    </row>
    <row r="322" spans="3:4" hidden="1" outlineLevel="1" x14ac:dyDescent="0.3">
      <c r="C322" s="37" t="s">
        <v>804</v>
      </c>
      <c r="D322" s="35" t="s">
        <v>762</v>
      </c>
    </row>
    <row r="323" spans="3:4" hidden="1" outlineLevel="1" x14ac:dyDescent="0.3">
      <c r="C323" s="37" t="s">
        <v>805</v>
      </c>
      <c r="D323" s="35" t="s">
        <v>763</v>
      </c>
    </row>
    <row r="324" spans="3:4" hidden="1" outlineLevel="1" x14ac:dyDescent="0.3">
      <c r="C324" s="37" t="s">
        <v>806</v>
      </c>
      <c r="D324" s="35" t="s">
        <v>764</v>
      </c>
    </row>
    <row r="325" spans="3:4" hidden="1" outlineLevel="1" x14ac:dyDescent="0.3">
      <c r="C325" s="37" t="s">
        <v>807</v>
      </c>
      <c r="D325" s="35" t="s">
        <v>765</v>
      </c>
    </row>
    <row r="326" spans="3:4" hidden="1" outlineLevel="1" x14ac:dyDescent="0.3">
      <c r="C326" s="37" t="s">
        <v>808</v>
      </c>
      <c r="D326" s="35" t="s">
        <v>766</v>
      </c>
    </row>
    <row r="327" spans="3:4" hidden="1" outlineLevel="1" x14ac:dyDescent="0.3">
      <c r="C327" s="37" t="s">
        <v>809</v>
      </c>
      <c r="D327" s="35" t="s">
        <v>767</v>
      </c>
    </row>
    <row r="328" spans="3:4" hidden="1" outlineLevel="1" x14ac:dyDescent="0.3">
      <c r="C328" s="37" t="s">
        <v>810</v>
      </c>
      <c r="D328" s="35" t="s">
        <v>768</v>
      </c>
    </row>
    <row r="329" spans="3:4" hidden="1" outlineLevel="1" x14ac:dyDescent="0.3">
      <c r="C329" s="37" t="s">
        <v>811</v>
      </c>
      <c r="D329" s="35" t="s">
        <v>769</v>
      </c>
    </row>
    <row r="330" spans="3:4" hidden="1" outlineLevel="1" x14ac:dyDescent="0.3">
      <c r="C330" s="37" t="s">
        <v>812</v>
      </c>
      <c r="D330" s="35" t="s">
        <v>770</v>
      </c>
    </row>
    <row r="331" spans="3:4" hidden="1" outlineLevel="1" x14ac:dyDescent="0.3">
      <c r="C331" s="37" t="s">
        <v>813</v>
      </c>
      <c r="D331" s="35" t="s">
        <v>771</v>
      </c>
    </row>
    <row r="332" spans="3:4" hidden="1" outlineLevel="1" x14ac:dyDescent="0.3">
      <c r="C332" s="37" t="s">
        <v>814</v>
      </c>
      <c r="D332" s="35" t="s">
        <v>772</v>
      </c>
    </row>
    <row r="333" spans="3:4" hidden="1" outlineLevel="1" x14ac:dyDescent="0.3">
      <c r="C333" s="37" t="s">
        <v>815</v>
      </c>
      <c r="D333" s="35" t="s">
        <v>773</v>
      </c>
    </row>
    <row r="334" spans="3:4" hidden="1" outlineLevel="1" x14ac:dyDescent="0.3">
      <c r="C334" s="37" t="s">
        <v>816</v>
      </c>
      <c r="D334" s="35" t="s">
        <v>774</v>
      </c>
    </row>
    <row r="335" spans="3:4" hidden="1" outlineLevel="1" x14ac:dyDescent="0.3">
      <c r="C335" s="37" t="s">
        <v>817</v>
      </c>
      <c r="D335" s="35" t="s">
        <v>775</v>
      </c>
    </row>
    <row r="336" spans="3:4" hidden="1" outlineLevel="1" x14ac:dyDescent="0.3">
      <c r="C336" s="37" t="s">
        <v>818</v>
      </c>
      <c r="D336" s="35" t="s">
        <v>776</v>
      </c>
    </row>
    <row r="337" spans="2:4" hidden="1" outlineLevel="1" x14ac:dyDescent="0.3">
      <c r="C337" s="37" t="s">
        <v>819</v>
      </c>
      <c r="D337" s="35" t="s">
        <v>777</v>
      </c>
    </row>
    <row r="338" spans="2:4" collapsed="1" x14ac:dyDescent="0.3">
      <c r="B338" s="43" t="s">
        <v>87</v>
      </c>
      <c r="C338" t="s">
        <v>11</v>
      </c>
    </row>
    <row r="339" spans="2:4" hidden="1" outlineLevel="1" x14ac:dyDescent="0.3">
      <c r="C339" s="40" t="s">
        <v>779</v>
      </c>
      <c r="D339" s="35" t="s">
        <v>745</v>
      </c>
    </row>
    <row r="340" spans="2:4" hidden="1" outlineLevel="1" x14ac:dyDescent="0.3">
      <c r="C340" s="41" t="s">
        <v>780</v>
      </c>
      <c r="D340" s="42" t="s">
        <v>820</v>
      </c>
    </row>
    <row r="341" spans="2:4" hidden="1" outlineLevel="1" x14ac:dyDescent="0.3">
      <c r="C341" s="40" t="s">
        <v>781</v>
      </c>
      <c r="D341" s="35" t="s">
        <v>746</v>
      </c>
    </row>
    <row r="342" spans="2:4" hidden="1" outlineLevel="1" x14ac:dyDescent="0.3">
      <c r="C342" s="41" t="s">
        <v>782</v>
      </c>
      <c r="D342" s="35" t="s">
        <v>367</v>
      </c>
    </row>
    <row r="343" spans="2:4" hidden="1" outlineLevel="1" x14ac:dyDescent="0.3">
      <c r="C343" s="41" t="s">
        <v>785</v>
      </c>
      <c r="D343" s="35" t="s">
        <v>68</v>
      </c>
    </row>
    <row r="344" spans="2:4" hidden="1" outlineLevel="1" x14ac:dyDescent="0.3">
      <c r="C344" s="41" t="s">
        <v>786</v>
      </c>
      <c r="D344" s="35" t="s">
        <v>747</v>
      </c>
    </row>
    <row r="345" spans="2:4" hidden="1" outlineLevel="1" x14ac:dyDescent="0.3">
      <c r="C345" s="41" t="s">
        <v>783</v>
      </c>
      <c r="D345" s="35" t="s">
        <v>11</v>
      </c>
    </row>
    <row r="346" spans="2:4" hidden="1" outlineLevel="1" x14ac:dyDescent="0.3">
      <c r="C346" s="41" t="s">
        <v>784</v>
      </c>
      <c r="D346" s="35" t="s">
        <v>125</v>
      </c>
    </row>
    <row r="347" spans="2:4" hidden="1" outlineLevel="1" x14ac:dyDescent="0.3">
      <c r="C347" s="41" t="s">
        <v>787</v>
      </c>
      <c r="D347" s="35" t="s">
        <v>748</v>
      </c>
    </row>
    <row r="348" spans="2:4" hidden="1" outlineLevel="1" x14ac:dyDescent="0.3">
      <c r="C348" s="37" t="s">
        <v>788</v>
      </c>
      <c r="D348" s="35" t="s">
        <v>517</v>
      </c>
    </row>
    <row r="349" spans="2:4" hidden="1" outlineLevel="1" x14ac:dyDescent="0.3">
      <c r="C349" s="37" t="s">
        <v>789</v>
      </c>
      <c r="D349" s="35" t="s">
        <v>386</v>
      </c>
    </row>
    <row r="350" spans="2:4" hidden="1" outlineLevel="1" x14ac:dyDescent="0.3">
      <c r="C350" s="37" t="s">
        <v>790</v>
      </c>
      <c r="D350" s="35" t="s">
        <v>299</v>
      </c>
    </row>
    <row r="351" spans="2:4" hidden="1" outlineLevel="1" x14ac:dyDescent="0.3">
      <c r="C351" s="37" t="s">
        <v>791</v>
      </c>
      <c r="D351" s="35" t="s">
        <v>749</v>
      </c>
    </row>
    <row r="352" spans="2:4" hidden="1" outlineLevel="1" x14ac:dyDescent="0.3">
      <c r="C352" s="37" t="s">
        <v>792</v>
      </c>
      <c r="D352" s="35" t="s">
        <v>750</v>
      </c>
    </row>
    <row r="353" spans="3:4" hidden="1" outlineLevel="1" x14ac:dyDescent="0.3">
      <c r="C353" s="37" t="s">
        <v>793</v>
      </c>
      <c r="D353" s="35" t="s">
        <v>751</v>
      </c>
    </row>
    <row r="354" spans="3:4" hidden="1" outlineLevel="1" x14ac:dyDescent="0.3">
      <c r="C354" s="37" t="s">
        <v>794</v>
      </c>
      <c r="D354" s="35" t="s">
        <v>752</v>
      </c>
    </row>
    <row r="355" spans="3:4" hidden="1" outlineLevel="1" x14ac:dyDescent="0.3">
      <c r="C355" s="37" t="s">
        <v>795</v>
      </c>
      <c r="D355" s="35" t="s">
        <v>753</v>
      </c>
    </row>
    <row r="356" spans="3:4" hidden="1" outlineLevel="1" x14ac:dyDescent="0.3">
      <c r="C356" s="37" t="s">
        <v>796</v>
      </c>
      <c r="D356" s="35" t="s">
        <v>754</v>
      </c>
    </row>
    <row r="357" spans="3:4" hidden="1" outlineLevel="1" x14ac:dyDescent="0.3">
      <c r="C357" s="37" t="s">
        <v>797</v>
      </c>
      <c r="D357" s="35" t="s">
        <v>755</v>
      </c>
    </row>
    <row r="358" spans="3:4" hidden="1" outlineLevel="1" x14ac:dyDescent="0.3">
      <c r="C358" s="37" t="s">
        <v>798</v>
      </c>
      <c r="D358" s="35" t="s">
        <v>756</v>
      </c>
    </row>
    <row r="359" spans="3:4" hidden="1" outlineLevel="1" x14ac:dyDescent="0.3">
      <c r="C359" s="37" t="s">
        <v>799</v>
      </c>
      <c r="D359" s="35" t="s">
        <v>757</v>
      </c>
    </row>
    <row r="360" spans="3:4" hidden="1" outlineLevel="1" x14ac:dyDescent="0.3">
      <c r="C360" s="37" t="s">
        <v>800</v>
      </c>
      <c r="D360" s="35" t="s">
        <v>758</v>
      </c>
    </row>
    <row r="361" spans="3:4" hidden="1" outlineLevel="1" x14ac:dyDescent="0.3">
      <c r="C361" s="37" t="s">
        <v>801</v>
      </c>
      <c r="D361" s="35" t="s">
        <v>759</v>
      </c>
    </row>
    <row r="362" spans="3:4" hidden="1" outlineLevel="1" x14ac:dyDescent="0.3">
      <c r="C362" s="37" t="s">
        <v>802</v>
      </c>
      <c r="D362" s="35" t="s">
        <v>760</v>
      </c>
    </row>
    <row r="363" spans="3:4" hidden="1" outlineLevel="1" x14ac:dyDescent="0.3">
      <c r="C363" s="37" t="s">
        <v>803</v>
      </c>
      <c r="D363" s="35" t="s">
        <v>761</v>
      </c>
    </row>
    <row r="364" spans="3:4" hidden="1" outlineLevel="1" x14ac:dyDescent="0.3">
      <c r="C364" s="37" t="s">
        <v>804</v>
      </c>
      <c r="D364" s="35" t="s">
        <v>762</v>
      </c>
    </row>
    <row r="365" spans="3:4" hidden="1" outlineLevel="1" x14ac:dyDescent="0.3">
      <c r="C365" s="37" t="s">
        <v>805</v>
      </c>
      <c r="D365" s="35" t="s">
        <v>763</v>
      </c>
    </row>
    <row r="366" spans="3:4" hidden="1" outlineLevel="1" x14ac:dyDescent="0.3">
      <c r="C366" s="37" t="s">
        <v>806</v>
      </c>
      <c r="D366" s="35" t="s">
        <v>764</v>
      </c>
    </row>
    <row r="367" spans="3:4" hidden="1" outlineLevel="1" x14ac:dyDescent="0.3">
      <c r="C367" s="37" t="s">
        <v>807</v>
      </c>
      <c r="D367" s="35" t="s">
        <v>765</v>
      </c>
    </row>
    <row r="368" spans="3:4" hidden="1" outlineLevel="1" x14ac:dyDescent="0.3">
      <c r="C368" s="37" t="s">
        <v>808</v>
      </c>
      <c r="D368" s="35" t="s">
        <v>766</v>
      </c>
    </row>
    <row r="369" spans="2:4" hidden="1" outlineLevel="1" x14ac:dyDescent="0.3">
      <c r="C369" s="37" t="s">
        <v>809</v>
      </c>
      <c r="D369" s="35" t="s">
        <v>767</v>
      </c>
    </row>
    <row r="370" spans="2:4" hidden="1" outlineLevel="1" x14ac:dyDescent="0.3">
      <c r="C370" s="37" t="s">
        <v>810</v>
      </c>
      <c r="D370" s="35" t="s">
        <v>768</v>
      </c>
    </row>
    <row r="371" spans="2:4" hidden="1" outlineLevel="1" x14ac:dyDescent="0.3">
      <c r="C371" s="37" t="s">
        <v>811</v>
      </c>
      <c r="D371" s="35" t="s">
        <v>769</v>
      </c>
    </row>
    <row r="372" spans="2:4" hidden="1" outlineLevel="1" x14ac:dyDescent="0.3">
      <c r="C372" s="37" t="s">
        <v>812</v>
      </c>
      <c r="D372" s="35" t="s">
        <v>770</v>
      </c>
    </row>
    <row r="373" spans="2:4" hidden="1" outlineLevel="1" x14ac:dyDescent="0.3">
      <c r="C373" s="37" t="s">
        <v>813</v>
      </c>
      <c r="D373" s="35" t="s">
        <v>771</v>
      </c>
    </row>
    <row r="374" spans="2:4" hidden="1" outlineLevel="1" x14ac:dyDescent="0.3">
      <c r="C374" s="37" t="s">
        <v>814</v>
      </c>
      <c r="D374" s="35" t="s">
        <v>772</v>
      </c>
    </row>
    <row r="375" spans="2:4" hidden="1" outlineLevel="1" x14ac:dyDescent="0.3">
      <c r="C375" s="37" t="s">
        <v>815</v>
      </c>
      <c r="D375" s="35" t="s">
        <v>773</v>
      </c>
    </row>
    <row r="376" spans="2:4" hidden="1" outlineLevel="1" x14ac:dyDescent="0.3">
      <c r="C376" s="37" t="s">
        <v>816</v>
      </c>
      <c r="D376" s="35" t="s">
        <v>774</v>
      </c>
    </row>
    <row r="377" spans="2:4" hidden="1" outlineLevel="1" x14ac:dyDescent="0.3">
      <c r="C377" s="37" t="s">
        <v>817</v>
      </c>
      <c r="D377" s="35" t="s">
        <v>775</v>
      </c>
    </row>
    <row r="378" spans="2:4" hidden="1" outlineLevel="1" x14ac:dyDescent="0.3">
      <c r="C378" s="37" t="s">
        <v>818</v>
      </c>
      <c r="D378" s="35" t="s">
        <v>776</v>
      </c>
    </row>
    <row r="379" spans="2:4" hidden="1" outlineLevel="1" x14ac:dyDescent="0.3">
      <c r="C379" s="37" t="s">
        <v>819</v>
      </c>
      <c r="D379" s="35" t="s">
        <v>777</v>
      </c>
    </row>
    <row r="380" spans="2:4" collapsed="1" x14ac:dyDescent="0.3">
      <c r="B380" s="43" t="s">
        <v>529</v>
      </c>
      <c r="C380" t="s">
        <v>125</v>
      </c>
    </row>
    <row r="381" spans="2:4" x14ac:dyDescent="0.3">
      <c r="B381" s="43" t="s">
        <v>294</v>
      </c>
      <c r="C381" t="s">
        <v>125</v>
      </c>
    </row>
    <row r="382" spans="2:4" x14ac:dyDescent="0.3">
      <c r="B382" s="43" t="s">
        <v>131</v>
      </c>
      <c r="C382" t="s">
        <v>11</v>
      </c>
    </row>
    <row r="383" spans="2:4" hidden="1" outlineLevel="1" x14ac:dyDescent="0.3">
      <c r="C383" s="40" t="s">
        <v>779</v>
      </c>
      <c r="D383" s="35" t="s">
        <v>745</v>
      </c>
    </row>
    <row r="384" spans="2:4" hidden="1" outlineLevel="1" x14ac:dyDescent="0.3">
      <c r="C384" s="41" t="s">
        <v>780</v>
      </c>
      <c r="D384" s="42" t="s">
        <v>820</v>
      </c>
    </row>
    <row r="385" spans="3:4" hidden="1" outlineLevel="1" x14ac:dyDescent="0.3">
      <c r="C385" s="40" t="s">
        <v>781</v>
      </c>
      <c r="D385" s="35" t="s">
        <v>746</v>
      </c>
    </row>
    <row r="386" spans="3:4" hidden="1" outlineLevel="1" x14ac:dyDescent="0.3">
      <c r="C386" s="41" t="s">
        <v>782</v>
      </c>
      <c r="D386" s="35" t="s">
        <v>367</v>
      </c>
    </row>
    <row r="387" spans="3:4" hidden="1" outlineLevel="1" x14ac:dyDescent="0.3">
      <c r="C387" s="41" t="s">
        <v>785</v>
      </c>
      <c r="D387" s="35" t="s">
        <v>68</v>
      </c>
    </row>
    <row r="388" spans="3:4" hidden="1" outlineLevel="1" x14ac:dyDescent="0.3">
      <c r="C388" s="41" t="s">
        <v>786</v>
      </c>
      <c r="D388" s="35" t="s">
        <v>747</v>
      </c>
    </row>
    <row r="389" spans="3:4" hidden="1" outlineLevel="1" x14ac:dyDescent="0.3">
      <c r="C389" s="41" t="s">
        <v>783</v>
      </c>
      <c r="D389" s="35" t="s">
        <v>11</v>
      </c>
    </row>
    <row r="390" spans="3:4" hidden="1" outlineLevel="1" x14ac:dyDescent="0.3">
      <c r="C390" s="41" t="s">
        <v>784</v>
      </c>
      <c r="D390" s="35" t="s">
        <v>125</v>
      </c>
    </row>
    <row r="391" spans="3:4" hidden="1" outlineLevel="1" x14ac:dyDescent="0.3">
      <c r="C391" s="41" t="s">
        <v>787</v>
      </c>
      <c r="D391" s="35" t="s">
        <v>748</v>
      </c>
    </row>
    <row r="392" spans="3:4" hidden="1" outlineLevel="1" x14ac:dyDescent="0.3">
      <c r="C392" s="37" t="s">
        <v>788</v>
      </c>
      <c r="D392" s="35" t="s">
        <v>517</v>
      </c>
    </row>
    <row r="393" spans="3:4" hidden="1" outlineLevel="1" x14ac:dyDescent="0.3">
      <c r="C393" s="37" t="s">
        <v>789</v>
      </c>
      <c r="D393" s="35" t="s">
        <v>386</v>
      </c>
    </row>
    <row r="394" spans="3:4" hidden="1" outlineLevel="1" x14ac:dyDescent="0.3">
      <c r="C394" s="37" t="s">
        <v>790</v>
      </c>
      <c r="D394" s="35" t="s">
        <v>299</v>
      </c>
    </row>
    <row r="395" spans="3:4" hidden="1" outlineLevel="1" x14ac:dyDescent="0.3">
      <c r="C395" s="37" t="s">
        <v>791</v>
      </c>
      <c r="D395" s="35" t="s">
        <v>749</v>
      </c>
    </row>
    <row r="396" spans="3:4" hidden="1" outlineLevel="1" x14ac:dyDescent="0.3">
      <c r="C396" s="37" t="s">
        <v>792</v>
      </c>
      <c r="D396" s="35" t="s">
        <v>750</v>
      </c>
    </row>
    <row r="397" spans="3:4" hidden="1" outlineLevel="1" x14ac:dyDescent="0.3">
      <c r="C397" s="37" t="s">
        <v>793</v>
      </c>
      <c r="D397" s="35" t="s">
        <v>751</v>
      </c>
    </row>
    <row r="398" spans="3:4" hidden="1" outlineLevel="1" x14ac:dyDescent="0.3">
      <c r="C398" s="37" t="s">
        <v>794</v>
      </c>
      <c r="D398" s="35" t="s">
        <v>752</v>
      </c>
    </row>
    <row r="399" spans="3:4" hidden="1" outlineLevel="1" x14ac:dyDescent="0.3">
      <c r="C399" s="37" t="s">
        <v>795</v>
      </c>
      <c r="D399" s="35" t="s">
        <v>753</v>
      </c>
    </row>
    <row r="400" spans="3:4" hidden="1" outlineLevel="1" x14ac:dyDescent="0.3">
      <c r="C400" s="37" t="s">
        <v>796</v>
      </c>
      <c r="D400" s="35" t="s">
        <v>754</v>
      </c>
    </row>
    <row r="401" spans="3:4" hidden="1" outlineLevel="1" x14ac:dyDescent="0.3">
      <c r="C401" s="37" t="s">
        <v>797</v>
      </c>
      <c r="D401" s="35" t="s">
        <v>755</v>
      </c>
    </row>
    <row r="402" spans="3:4" hidden="1" outlineLevel="1" x14ac:dyDescent="0.3">
      <c r="C402" s="37" t="s">
        <v>798</v>
      </c>
      <c r="D402" s="35" t="s">
        <v>756</v>
      </c>
    </row>
    <row r="403" spans="3:4" hidden="1" outlineLevel="1" x14ac:dyDescent="0.3">
      <c r="C403" s="37" t="s">
        <v>799</v>
      </c>
      <c r="D403" s="35" t="s">
        <v>757</v>
      </c>
    </row>
    <row r="404" spans="3:4" hidden="1" outlineLevel="1" x14ac:dyDescent="0.3">
      <c r="C404" s="37" t="s">
        <v>800</v>
      </c>
      <c r="D404" s="35" t="s">
        <v>758</v>
      </c>
    </row>
    <row r="405" spans="3:4" hidden="1" outlineLevel="1" x14ac:dyDescent="0.3">
      <c r="C405" s="37" t="s">
        <v>801</v>
      </c>
      <c r="D405" s="35" t="s">
        <v>759</v>
      </c>
    </row>
    <row r="406" spans="3:4" hidden="1" outlineLevel="1" x14ac:dyDescent="0.3">
      <c r="C406" s="37" t="s">
        <v>802</v>
      </c>
      <c r="D406" s="35" t="s">
        <v>760</v>
      </c>
    </row>
    <row r="407" spans="3:4" hidden="1" outlineLevel="1" x14ac:dyDescent="0.3">
      <c r="C407" s="37" t="s">
        <v>803</v>
      </c>
      <c r="D407" s="35" t="s">
        <v>761</v>
      </c>
    </row>
    <row r="408" spans="3:4" hidden="1" outlineLevel="1" x14ac:dyDescent="0.3">
      <c r="C408" s="37" t="s">
        <v>804</v>
      </c>
      <c r="D408" s="35" t="s">
        <v>762</v>
      </c>
    </row>
    <row r="409" spans="3:4" hidden="1" outlineLevel="1" x14ac:dyDescent="0.3">
      <c r="C409" s="37" t="s">
        <v>805</v>
      </c>
      <c r="D409" s="35" t="s">
        <v>763</v>
      </c>
    </row>
    <row r="410" spans="3:4" hidden="1" outlineLevel="1" x14ac:dyDescent="0.3">
      <c r="C410" s="37" t="s">
        <v>806</v>
      </c>
      <c r="D410" s="35" t="s">
        <v>764</v>
      </c>
    </row>
    <row r="411" spans="3:4" hidden="1" outlineLevel="1" x14ac:dyDescent="0.3">
      <c r="C411" s="37" t="s">
        <v>807</v>
      </c>
      <c r="D411" s="35" t="s">
        <v>765</v>
      </c>
    </row>
    <row r="412" spans="3:4" hidden="1" outlineLevel="1" x14ac:dyDescent="0.3">
      <c r="C412" s="37" t="s">
        <v>808</v>
      </c>
      <c r="D412" s="35" t="s">
        <v>766</v>
      </c>
    </row>
    <row r="413" spans="3:4" hidden="1" outlineLevel="1" x14ac:dyDescent="0.3">
      <c r="C413" s="37" t="s">
        <v>809</v>
      </c>
      <c r="D413" s="35" t="s">
        <v>767</v>
      </c>
    </row>
    <row r="414" spans="3:4" hidden="1" outlineLevel="1" x14ac:dyDescent="0.3">
      <c r="C414" s="37" t="s">
        <v>810</v>
      </c>
      <c r="D414" s="35" t="s">
        <v>768</v>
      </c>
    </row>
    <row r="415" spans="3:4" hidden="1" outlineLevel="1" x14ac:dyDescent="0.3">
      <c r="C415" s="37" t="s">
        <v>811</v>
      </c>
      <c r="D415" s="35" t="s">
        <v>769</v>
      </c>
    </row>
    <row r="416" spans="3:4" hidden="1" outlineLevel="1" x14ac:dyDescent="0.3">
      <c r="C416" s="37" t="s">
        <v>812</v>
      </c>
      <c r="D416" s="35" t="s">
        <v>770</v>
      </c>
    </row>
    <row r="417" spans="2:4" hidden="1" outlineLevel="1" x14ac:dyDescent="0.3">
      <c r="C417" s="37" t="s">
        <v>813</v>
      </c>
      <c r="D417" s="35" t="s">
        <v>771</v>
      </c>
    </row>
    <row r="418" spans="2:4" hidden="1" outlineLevel="1" x14ac:dyDescent="0.3">
      <c r="C418" s="37" t="s">
        <v>814</v>
      </c>
      <c r="D418" s="35" t="s">
        <v>772</v>
      </c>
    </row>
    <row r="419" spans="2:4" hidden="1" outlineLevel="1" x14ac:dyDescent="0.3">
      <c r="C419" s="37" t="s">
        <v>815</v>
      </c>
      <c r="D419" s="35" t="s">
        <v>773</v>
      </c>
    </row>
    <row r="420" spans="2:4" hidden="1" outlineLevel="1" x14ac:dyDescent="0.3">
      <c r="C420" s="37" t="s">
        <v>816</v>
      </c>
      <c r="D420" s="35" t="s">
        <v>774</v>
      </c>
    </row>
    <row r="421" spans="2:4" hidden="1" outlineLevel="1" x14ac:dyDescent="0.3">
      <c r="C421" s="37" t="s">
        <v>817</v>
      </c>
      <c r="D421" s="35" t="s">
        <v>775</v>
      </c>
    </row>
    <row r="422" spans="2:4" hidden="1" outlineLevel="1" x14ac:dyDescent="0.3">
      <c r="C422" s="37" t="s">
        <v>818</v>
      </c>
      <c r="D422" s="35" t="s">
        <v>776</v>
      </c>
    </row>
    <row r="423" spans="2:4" hidden="1" outlineLevel="1" x14ac:dyDescent="0.3">
      <c r="C423" s="37" t="s">
        <v>819</v>
      </c>
      <c r="D423" s="35" t="s">
        <v>777</v>
      </c>
    </row>
    <row r="424" spans="2:4" collapsed="1" x14ac:dyDescent="0.3">
      <c r="B424" s="43" t="s">
        <v>404</v>
      </c>
      <c r="C424" t="s">
        <v>249</v>
      </c>
    </row>
    <row r="425" spans="2:4" hidden="1" outlineLevel="1" x14ac:dyDescent="0.3">
      <c r="C425" s="40" t="s">
        <v>779</v>
      </c>
      <c r="D425" s="35" t="s">
        <v>745</v>
      </c>
    </row>
    <row r="426" spans="2:4" hidden="1" outlineLevel="1" x14ac:dyDescent="0.3">
      <c r="C426" s="41" t="s">
        <v>780</v>
      </c>
      <c r="D426" s="42" t="s">
        <v>820</v>
      </c>
    </row>
    <row r="427" spans="2:4" hidden="1" outlineLevel="1" x14ac:dyDescent="0.3">
      <c r="C427" s="40" t="s">
        <v>781</v>
      </c>
      <c r="D427" s="35" t="s">
        <v>746</v>
      </c>
    </row>
    <row r="428" spans="2:4" hidden="1" outlineLevel="1" x14ac:dyDescent="0.3">
      <c r="C428" s="41" t="s">
        <v>782</v>
      </c>
      <c r="D428" s="35" t="s">
        <v>367</v>
      </c>
    </row>
    <row r="429" spans="2:4" hidden="1" outlineLevel="1" x14ac:dyDescent="0.3">
      <c r="C429" s="41" t="s">
        <v>785</v>
      </c>
      <c r="D429" s="35" t="s">
        <v>68</v>
      </c>
    </row>
    <row r="430" spans="2:4" hidden="1" outlineLevel="1" x14ac:dyDescent="0.3">
      <c r="C430" s="41" t="s">
        <v>786</v>
      </c>
      <c r="D430" s="35" t="s">
        <v>747</v>
      </c>
    </row>
    <row r="431" spans="2:4" hidden="1" outlineLevel="1" x14ac:dyDescent="0.3">
      <c r="C431" s="41" t="s">
        <v>783</v>
      </c>
      <c r="D431" s="35" t="s">
        <v>11</v>
      </c>
    </row>
    <row r="432" spans="2:4" hidden="1" outlineLevel="1" x14ac:dyDescent="0.3">
      <c r="C432" s="41" t="s">
        <v>784</v>
      </c>
      <c r="D432" s="35" t="s">
        <v>125</v>
      </c>
    </row>
    <row r="433" spans="3:4" hidden="1" outlineLevel="1" x14ac:dyDescent="0.3">
      <c r="C433" s="41" t="s">
        <v>787</v>
      </c>
      <c r="D433" s="35" t="s">
        <v>748</v>
      </c>
    </row>
    <row r="434" spans="3:4" hidden="1" outlineLevel="1" x14ac:dyDescent="0.3">
      <c r="C434" s="37" t="s">
        <v>788</v>
      </c>
      <c r="D434" s="35" t="s">
        <v>517</v>
      </c>
    </row>
    <row r="435" spans="3:4" hidden="1" outlineLevel="1" x14ac:dyDescent="0.3">
      <c r="C435" s="37" t="s">
        <v>789</v>
      </c>
      <c r="D435" s="35" t="s">
        <v>386</v>
      </c>
    </row>
    <row r="436" spans="3:4" hidden="1" outlineLevel="1" x14ac:dyDescent="0.3">
      <c r="C436" s="37" t="s">
        <v>790</v>
      </c>
      <c r="D436" s="35" t="s">
        <v>299</v>
      </c>
    </row>
    <row r="437" spans="3:4" hidden="1" outlineLevel="1" x14ac:dyDescent="0.3">
      <c r="C437" s="37" t="s">
        <v>791</v>
      </c>
      <c r="D437" s="35" t="s">
        <v>749</v>
      </c>
    </row>
    <row r="438" spans="3:4" hidden="1" outlineLevel="1" x14ac:dyDescent="0.3">
      <c r="C438" s="37" t="s">
        <v>792</v>
      </c>
      <c r="D438" s="35" t="s">
        <v>750</v>
      </c>
    </row>
    <row r="439" spans="3:4" hidden="1" outlineLevel="1" x14ac:dyDescent="0.3">
      <c r="C439" s="37" t="s">
        <v>793</v>
      </c>
      <c r="D439" s="35" t="s">
        <v>751</v>
      </c>
    </row>
    <row r="440" spans="3:4" hidden="1" outlineLevel="1" x14ac:dyDescent="0.3">
      <c r="C440" s="37" t="s">
        <v>794</v>
      </c>
      <c r="D440" s="35" t="s">
        <v>752</v>
      </c>
    </row>
    <row r="441" spans="3:4" hidden="1" outlineLevel="1" x14ac:dyDescent="0.3">
      <c r="C441" s="37" t="s">
        <v>795</v>
      </c>
      <c r="D441" s="35" t="s">
        <v>753</v>
      </c>
    </row>
    <row r="442" spans="3:4" hidden="1" outlineLevel="1" x14ac:dyDescent="0.3">
      <c r="C442" s="37" t="s">
        <v>796</v>
      </c>
      <c r="D442" s="35" t="s">
        <v>754</v>
      </c>
    </row>
    <row r="443" spans="3:4" hidden="1" outlineLevel="1" x14ac:dyDescent="0.3">
      <c r="C443" s="37" t="s">
        <v>797</v>
      </c>
      <c r="D443" s="35" t="s">
        <v>755</v>
      </c>
    </row>
    <row r="444" spans="3:4" hidden="1" outlineLevel="1" x14ac:dyDescent="0.3">
      <c r="C444" s="37" t="s">
        <v>798</v>
      </c>
      <c r="D444" s="35" t="s">
        <v>756</v>
      </c>
    </row>
    <row r="445" spans="3:4" hidden="1" outlineLevel="1" x14ac:dyDescent="0.3">
      <c r="C445" s="37" t="s">
        <v>799</v>
      </c>
      <c r="D445" s="35" t="s">
        <v>757</v>
      </c>
    </row>
    <row r="446" spans="3:4" hidden="1" outlineLevel="1" x14ac:dyDescent="0.3">
      <c r="C446" s="37" t="s">
        <v>800</v>
      </c>
      <c r="D446" s="35" t="s">
        <v>758</v>
      </c>
    </row>
    <row r="447" spans="3:4" hidden="1" outlineLevel="1" x14ac:dyDescent="0.3">
      <c r="C447" s="37" t="s">
        <v>801</v>
      </c>
      <c r="D447" s="35" t="s">
        <v>759</v>
      </c>
    </row>
    <row r="448" spans="3:4" hidden="1" outlineLevel="1" x14ac:dyDescent="0.3">
      <c r="C448" s="37" t="s">
        <v>802</v>
      </c>
      <c r="D448" s="35" t="s">
        <v>760</v>
      </c>
    </row>
    <row r="449" spans="3:4" hidden="1" outlineLevel="1" x14ac:dyDescent="0.3">
      <c r="C449" s="37" t="s">
        <v>803</v>
      </c>
      <c r="D449" s="35" t="s">
        <v>761</v>
      </c>
    </row>
    <row r="450" spans="3:4" hidden="1" outlineLevel="1" x14ac:dyDescent="0.3">
      <c r="C450" s="37" t="s">
        <v>804</v>
      </c>
      <c r="D450" s="35" t="s">
        <v>762</v>
      </c>
    </row>
    <row r="451" spans="3:4" hidden="1" outlineLevel="1" x14ac:dyDescent="0.3">
      <c r="C451" s="37" t="s">
        <v>805</v>
      </c>
      <c r="D451" s="35" t="s">
        <v>763</v>
      </c>
    </row>
    <row r="452" spans="3:4" hidden="1" outlineLevel="1" x14ac:dyDescent="0.3">
      <c r="C452" s="37" t="s">
        <v>806</v>
      </c>
      <c r="D452" s="35" t="s">
        <v>764</v>
      </c>
    </row>
    <row r="453" spans="3:4" hidden="1" outlineLevel="1" x14ac:dyDescent="0.3">
      <c r="C453" s="37" t="s">
        <v>807</v>
      </c>
      <c r="D453" s="35" t="s">
        <v>765</v>
      </c>
    </row>
    <row r="454" spans="3:4" hidden="1" outlineLevel="1" x14ac:dyDescent="0.3">
      <c r="C454" s="37" t="s">
        <v>808</v>
      </c>
      <c r="D454" s="35" t="s">
        <v>766</v>
      </c>
    </row>
    <row r="455" spans="3:4" hidden="1" outlineLevel="1" x14ac:dyDescent="0.3">
      <c r="C455" s="37" t="s">
        <v>809</v>
      </c>
      <c r="D455" s="35" t="s">
        <v>767</v>
      </c>
    </row>
    <row r="456" spans="3:4" hidden="1" outlineLevel="1" x14ac:dyDescent="0.3">
      <c r="C456" s="37" t="s">
        <v>810</v>
      </c>
      <c r="D456" s="35" t="s">
        <v>768</v>
      </c>
    </row>
    <row r="457" spans="3:4" hidden="1" outlineLevel="1" x14ac:dyDescent="0.3">
      <c r="C457" s="37" t="s">
        <v>811</v>
      </c>
      <c r="D457" s="35" t="s">
        <v>769</v>
      </c>
    </row>
    <row r="458" spans="3:4" hidden="1" outlineLevel="1" x14ac:dyDescent="0.3">
      <c r="C458" s="37" t="s">
        <v>812</v>
      </c>
      <c r="D458" s="35" t="s">
        <v>770</v>
      </c>
    </row>
    <row r="459" spans="3:4" hidden="1" outlineLevel="1" x14ac:dyDescent="0.3">
      <c r="C459" s="37" t="s">
        <v>813</v>
      </c>
      <c r="D459" s="35" t="s">
        <v>771</v>
      </c>
    </row>
    <row r="460" spans="3:4" hidden="1" outlineLevel="1" x14ac:dyDescent="0.3">
      <c r="C460" s="37" t="s">
        <v>814</v>
      </c>
      <c r="D460" s="35" t="s">
        <v>772</v>
      </c>
    </row>
    <row r="461" spans="3:4" hidden="1" outlineLevel="1" x14ac:dyDescent="0.3">
      <c r="C461" s="37" t="s">
        <v>815</v>
      </c>
      <c r="D461" s="35" t="s">
        <v>773</v>
      </c>
    </row>
    <row r="462" spans="3:4" hidden="1" outlineLevel="1" x14ac:dyDescent="0.3">
      <c r="C462" s="37" t="s">
        <v>816</v>
      </c>
      <c r="D462" s="35" t="s">
        <v>774</v>
      </c>
    </row>
    <row r="463" spans="3:4" hidden="1" outlineLevel="1" x14ac:dyDescent="0.3">
      <c r="C463" s="37" t="s">
        <v>817</v>
      </c>
      <c r="D463" s="35" t="s">
        <v>775</v>
      </c>
    </row>
    <row r="464" spans="3:4" hidden="1" outlineLevel="1" x14ac:dyDescent="0.3">
      <c r="C464" s="37" t="s">
        <v>818</v>
      </c>
      <c r="D464" s="35" t="s">
        <v>776</v>
      </c>
    </row>
    <row r="465" spans="2:4" hidden="1" outlineLevel="1" x14ac:dyDescent="0.3">
      <c r="C465" s="37" t="s">
        <v>819</v>
      </c>
      <c r="D465" s="35" t="s">
        <v>777</v>
      </c>
    </row>
    <row r="466" spans="2:4" collapsed="1" x14ac:dyDescent="0.3">
      <c r="B466" s="43" t="s">
        <v>177</v>
      </c>
      <c r="C466" t="s">
        <v>18</v>
      </c>
    </row>
    <row r="467" spans="2:4" hidden="1" outlineLevel="1" x14ac:dyDescent="0.3">
      <c r="C467" s="40" t="s">
        <v>779</v>
      </c>
      <c r="D467" s="35" t="s">
        <v>745</v>
      </c>
    </row>
    <row r="468" spans="2:4" hidden="1" outlineLevel="1" x14ac:dyDescent="0.3">
      <c r="C468" s="41" t="s">
        <v>780</v>
      </c>
      <c r="D468" s="42" t="s">
        <v>820</v>
      </c>
    </row>
    <row r="469" spans="2:4" hidden="1" outlineLevel="1" x14ac:dyDescent="0.3">
      <c r="C469" s="40" t="s">
        <v>781</v>
      </c>
      <c r="D469" s="35" t="s">
        <v>746</v>
      </c>
    </row>
    <row r="470" spans="2:4" hidden="1" outlineLevel="1" x14ac:dyDescent="0.3">
      <c r="C470" s="41" t="s">
        <v>782</v>
      </c>
      <c r="D470" s="35" t="s">
        <v>367</v>
      </c>
    </row>
    <row r="471" spans="2:4" hidden="1" outlineLevel="1" x14ac:dyDescent="0.3">
      <c r="C471" s="41" t="s">
        <v>785</v>
      </c>
      <c r="D471" s="35" t="s">
        <v>68</v>
      </c>
    </row>
    <row r="472" spans="2:4" hidden="1" outlineLevel="1" x14ac:dyDescent="0.3">
      <c r="C472" s="41" t="s">
        <v>786</v>
      </c>
      <c r="D472" s="35" t="s">
        <v>747</v>
      </c>
    </row>
    <row r="473" spans="2:4" hidden="1" outlineLevel="1" x14ac:dyDescent="0.3">
      <c r="C473" s="41" t="s">
        <v>783</v>
      </c>
      <c r="D473" s="35" t="s">
        <v>11</v>
      </c>
    </row>
    <row r="474" spans="2:4" hidden="1" outlineLevel="1" x14ac:dyDescent="0.3">
      <c r="C474" s="41" t="s">
        <v>784</v>
      </c>
      <c r="D474" s="35" t="s">
        <v>125</v>
      </c>
    </row>
    <row r="475" spans="2:4" hidden="1" outlineLevel="1" x14ac:dyDescent="0.3">
      <c r="C475" s="41" t="s">
        <v>787</v>
      </c>
      <c r="D475" s="35" t="s">
        <v>748</v>
      </c>
    </row>
    <row r="476" spans="2:4" hidden="1" outlineLevel="1" x14ac:dyDescent="0.3">
      <c r="C476" s="37" t="s">
        <v>788</v>
      </c>
      <c r="D476" s="35" t="s">
        <v>517</v>
      </c>
    </row>
    <row r="477" spans="2:4" hidden="1" outlineLevel="1" x14ac:dyDescent="0.3">
      <c r="C477" s="37" t="s">
        <v>789</v>
      </c>
      <c r="D477" s="35" t="s">
        <v>386</v>
      </c>
    </row>
    <row r="478" spans="2:4" hidden="1" outlineLevel="1" x14ac:dyDescent="0.3">
      <c r="C478" s="37" t="s">
        <v>790</v>
      </c>
      <c r="D478" s="35" t="s">
        <v>299</v>
      </c>
    </row>
    <row r="479" spans="2:4" hidden="1" outlineLevel="1" x14ac:dyDescent="0.3">
      <c r="C479" s="37" t="s">
        <v>791</v>
      </c>
      <c r="D479" s="35" t="s">
        <v>749</v>
      </c>
    </row>
    <row r="480" spans="2:4" hidden="1" outlineLevel="1" x14ac:dyDescent="0.3">
      <c r="C480" s="37" t="s">
        <v>792</v>
      </c>
      <c r="D480" s="35" t="s">
        <v>750</v>
      </c>
    </row>
    <row r="481" spans="3:4" hidden="1" outlineLevel="1" x14ac:dyDescent="0.3">
      <c r="C481" s="37" t="s">
        <v>793</v>
      </c>
      <c r="D481" s="35" t="s">
        <v>751</v>
      </c>
    </row>
    <row r="482" spans="3:4" hidden="1" outlineLevel="1" x14ac:dyDescent="0.3">
      <c r="C482" s="37" t="s">
        <v>794</v>
      </c>
      <c r="D482" s="35" t="s">
        <v>752</v>
      </c>
    </row>
    <row r="483" spans="3:4" hidden="1" outlineLevel="1" x14ac:dyDescent="0.3">
      <c r="C483" s="37" t="s">
        <v>795</v>
      </c>
      <c r="D483" s="35" t="s">
        <v>753</v>
      </c>
    </row>
    <row r="484" spans="3:4" hidden="1" outlineLevel="1" x14ac:dyDescent="0.3">
      <c r="C484" s="37" t="s">
        <v>796</v>
      </c>
      <c r="D484" s="35" t="s">
        <v>754</v>
      </c>
    </row>
    <row r="485" spans="3:4" hidden="1" outlineLevel="1" x14ac:dyDescent="0.3">
      <c r="C485" s="37" t="s">
        <v>797</v>
      </c>
      <c r="D485" s="35" t="s">
        <v>755</v>
      </c>
    </row>
    <row r="486" spans="3:4" hidden="1" outlineLevel="1" x14ac:dyDescent="0.3">
      <c r="C486" s="37" t="s">
        <v>798</v>
      </c>
      <c r="D486" s="35" t="s">
        <v>756</v>
      </c>
    </row>
    <row r="487" spans="3:4" hidden="1" outlineLevel="1" x14ac:dyDescent="0.3">
      <c r="C487" s="37" t="s">
        <v>799</v>
      </c>
      <c r="D487" s="35" t="s">
        <v>757</v>
      </c>
    </row>
    <row r="488" spans="3:4" hidden="1" outlineLevel="1" x14ac:dyDescent="0.3">
      <c r="C488" s="37" t="s">
        <v>800</v>
      </c>
      <c r="D488" s="35" t="s">
        <v>758</v>
      </c>
    </row>
    <row r="489" spans="3:4" hidden="1" outlineLevel="1" x14ac:dyDescent="0.3">
      <c r="C489" s="37" t="s">
        <v>801</v>
      </c>
      <c r="D489" s="35" t="s">
        <v>759</v>
      </c>
    </row>
    <row r="490" spans="3:4" hidden="1" outlineLevel="1" x14ac:dyDescent="0.3">
      <c r="C490" s="37" t="s">
        <v>802</v>
      </c>
      <c r="D490" s="35" t="s">
        <v>760</v>
      </c>
    </row>
    <row r="491" spans="3:4" hidden="1" outlineLevel="1" x14ac:dyDescent="0.3">
      <c r="C491" s="37" t="s">
        <v>803</v>
      </c>
      <c r="D491" s="35" t="s">
        <v>761</v>
      </c>
    </row>
    <row r="492" spans="3:4" hidden="1" outlineLevel="1" x14ac:dyDescent="0.3">
      <c r="C492" s="37" t="s">
        <v>804</v>
      </c>
      <c r="D492" s="35" t="s">
        <v>762</v>
      </c>
    </row>
    <row r="493" spans="3:4" hidden="1" outlineLevel="1" x14ac:dyDescent="0.3">
      <c r="C493" s="37" t="s">
        <v>805</v>
      </c>
      <c r="D493" s="35" t="s">
        <v>763</v>
      </c>
    </row>
    <row r="494" spans="3:4" hidden="1" outlineLevel="1" x14ac:dyDescent="0.3">
      <c r="C494" s="37" t="s">
        <v>806</v>
      </c>
      <c r="D494" s="35" t="s">
        <v>764</v>
      </c>
    </row>
    <row r="495" spans="3:4" hidden="1" outlineLevel="1" x14ac:dyDescent="0.3">
      <c r="C495" s="37" t="s">
        <v>807</v>
      </c>
      <c r="D495" s="35" t="s">
        <v>765</v>
      </c>
    </row>
    <row r="496" spans="3:4" hidden="1" outlineLevel="1" x14ac:dyDescent="0.3">
      <c r="C496" s="37" t="s">
        <v>808</v>
      </c>
      <c r="D496" s="35" t="s">
        <v>766</v>
      </c>
    </row>
    <row r="497" spans="2:4" hidden="1" outlineLevel="1" x14ac:dyDescent="0.3">
      <c r="C497" s="37" t="s">
        <v>809</v>
      </c>
      <c r="D497" s="35" t="s">
        <v>767</v>
      </c>
    </row>
    <row r="498" spans="2:4" hidden="1" outlineLevel="1" x14ac:dyDescent="0.3">
      <c r="C498" s="37" t="s">
        <v>810</v>
      </c>
      <c r="D498" s="35" t="s">
        <v>768</v>
      </c>
    </row>
    <row r="499" spans="2:4" hidden="1" outlineLevel="1" x14ac:dyDescent="0.3">
      <c r="C499" s="37" t="s">
        <v>811</v>
      </c>
      <c r="D499" s="35" t="s">
        <v>769</v>
      </c>
    </row>
    <row r="500" spans="2:4" hidden="1" outlineLevel="1" x14ac:dyDescent="0.3">
      <c r="C500" s="37" t="s">
        <v>812</v>
      </c>
      <c r="D500" s="35" t="s">
        <v>770</v>
      </c>
    </row>
    <row r="501" spans="2:4" hidden="1" outlineLevel="1" x14ac:dyDescent="0.3">
      <c r="C501" s="37" t="s">
        <v>813</v>
      </c>
      <c r="D501" s="35" t="s">
        <v>771</v>
      </c>
    </row>
    <row r="502" spans="2:4" hidden="1" outlineLevel="1" x14ac:dyDescent="0.3">
      <c r="C502" s="37" t="s">
        <v>814</v>
      </c>
      <c r="D502" s="35" t="s">
        <v>772</v>
      </c>
    </row>
    <row r="503" spans="2:4" hidden="1" outlineLevel="1" x14ac:dyDescent="0.3">
      <c r="C503" s="37" t="s">
        <v>815</v>
      </c>
      <c r="D503" s="35" t="s">
        <v>773</v>
      </c>
    </row>
    <row r="504" spans="2:4" hidden="1" outlineLevel="1" x14ac:dyDescent="0.3">
      <c r="C504" s="37" t="s">
        <v>816</v>
      </c>
      <c r="D504" s="35" t="s">
        <v>774</v>
      </c>
    </row>
    <row r="505" spans="2:4" hidden="1" outlineLevel="1" x14ac:dyDescent="0.3">
      <c r="C505" s="37" t="s">
        <v>817</v>
      </c>
      <c r="D505" s="35" t="s">
        <v>775</v>
      </c>
    </row>
    <row r="506" spans="2:4" hidden="1" outlineLevel="1" x14ac:dyDescent="0.3">
      <c r="C506" s="37" t="s">
        <v>818</v>
      </c>
      <c r="D506" s="35" t="s">
        <v>776</v>
      </c>
    </row>
    <row r="507" spans="2:4" hidden="1" outlineLevel="1" x14ac:dyDescent="0.3">
      <c r="C507" s="37" t="s">
        <v>819</v>
      </c>
      <c r="D507" s="35" t="s">
        <v>777</v>
      </c>
    </row>
    <row r="508" spans="2:4" collapsed="1" x14ac:dyDescent="0.3">
      <c r="B508" s="43" t="s">
        <v>496</v>
      </c>
      <c r="C508" t="s">
        <v>497</v>
      </c>
    </row>
    <row r="509" spans="2:4" hidden="1" outlineLevel="1" x14ac:dyDescent="0.3">
      <c r="C509" s="40" t="s">
        <v>779</v>
      </c>
      <c r="D509" s="35" t="s">
        <v>745</v>
      </c>
    </row>
    <row r="510" spans="2:4" hidden="1" outlineLevel="1" x14ac:dyDescent="0.3">
      <c r="C510" s="41" t="s">
        <v>780</v>
      </c>
      <c r="D510" s="42" t="s">
        <v>820</v>
      </c>
    </row>
    <row r="511" spans="2:4" hidden="1" outlineLevel="1" x14ac:dyDescent="0.3">
      <c r="C511" s="40" t="s">
        <v>781</v>
      </c>
      <c r="D511" s="35" t="s">
        <v>746</v>
      </c>
    </row>
    <row r="512" spans="2:4" hidden="1" outlineLevel="1" x14ac:dyDescent="0.3">
      <c r="C512" s="41" t="s">
        <v>782</v>
      </c>
      <c r="D512" s="35" t="s">
        <v>367</v>
      </c>
    </row>
    <row r="513" spans="3:4" hidden="1" outlineLevel="1" x14ac:dyDescent="0.3">
      <c r="C513" s="41" t="s">
        <v>785</v>
      </c>
      <c r="D513" s="35" t="s">
        <v>68</v>
      </c>
    </row>
    <row r="514" spans="3:4" hidden="1" outlineLevel="1" x14ac:dyDescent="0.3">
      <c r="C514" s="41" t="s">
        <v>786</v>
      </c>
      <c r="D514" s="35" t="s">
        <v>747</v>
      </c>
    </row>
    <row r="515" spans="3:4" hidden="1" outlineLevel="1" x14ac:dyDescent="0.3">
      <c r="C515" s="41" t="s">
        <v>783</v>
      </c>
      <c r="D515" s="35" t="s">
        <v>11</v>
      </c>
    </row>
    <row r="516" spans="3:4" hidden="1" outlineLevel="1" x14ac:dyDescent="0.3">
      <c r="C516" s="41" t="s">
        <v>784</v>
      </c>
      <c r="D516" s="35" t="s">
        <v>125</v>
      </c>
    </row>
    <row r="517" spans="3:4" hidden="1" outlineLevel="1" x14ac:dyDescent="0.3">
      <c r="C517" s="41" t="s">
        <v>787</v>
      </c>
      <c r="D517" s="35" t="s">
        <v>748</v>
      </c>
    </row>
    <row r="518" spans="3:4" hidden="1" outlineLevel="1" x14ac:dyDescent="0.3">
      <c r="C518" s="37" t="s">
        <v>788</v>
      </c>
      <c r="D518" s="35" t="s">
        <v>517</v>
      </c>
    </row>
    <row r="519" spans="3:4" hidden="1" outlineLevel="1" x14ac:dyDescent="0.3">
      <c r="C519" s="37" t="s">
        <v>789</v>
      </c>
      <c r="D519" s="35" t="s">
        <v>386</v>
      </c>
    </row>
    <row r="520" spans="3:4" hidden="1" outlineLevel="1" x14ac:dyDescent="0.3">
      <c r="C520" s="37" t="s">
        <v>790</v>
      </c>
      <c r="D520" s="35" t="s">
        <v>299</v>
      </c>
    </row>
    <row r="521" spans="3:4" hidden="1" outlineLevel="1" x14ac:dyDescent="0.3">
      <c r="C521" s="37" t="s">
        <v>791</v>
      </c>
      <c r="D521" s="35" t="s">
        <v>749</v>
      </c>
    </row>
    <row r="522" spans="3:4" hidden="1" outlineLevel="1" x14ac:dyDescent="0.3">
      <c r="C522" s="37" t="s">
        <v>792</v>
      </c>
      <c r="D522" s="35" t="s">
        <v>750</v>
      </c>
    </row>
    <row r="523" spans="3:4" hidden="1" outlineLevel="1" x14ac:dyDescent="0.3">
      <c r="C523" s="37" t="s">
        <v>793</v>
      </c>
      <c r="D523" s="35" t="s">
        <v>751</v>
      </c>
    </row>
    <row r="524" spans="3:4" hidden="1" outlineLevel="1" x14ac:dyDescent="0.3">
      <c r="C524" s="37" t="s">
        <v>794</v>
      </c>
      <c r="D524" s="35" t="s">
        <v>752</v>
      </c>
    </row>
    <row r="525" spans="3:4" hidden="1" outlineLevel="1" x14ac:dyDescent="0.3">
      <c r="C525" s="37" t="s">
        <v>795</v>
      </c>
      <c r="D525" s="35" t="s">
        <v>753</v>
      </c>
    </row>
    <row r="526" spans="3:4" hidden="1" outlineLevel="1" x14ac:dyDescent="0.3">
      <c r="C526" s="37" t="s">
        <v>796</v>
      </c>
      <c r="D526" s="35" t="s">
        <v>754</v>
      </c>
    </row>
    <row r="527" spans="3:4" hidden="1" outlineLevel="1" x14ac:dyDescent="0.3">
      <c r="C527" s="37" t="s">
        <v>797</v>
      </c>
      <c r="D527" s="35" t="s">
        <v>755</v>
      </c>
    </row>
    <row r="528" spans="3:4" hidden="1" outlineLevel="1" x14ac:dyDescent="0.3">
      <c r="C528" s="37" t="s">
        <v>798</v>
      </c>
      <c r="D528" s="35" t="s">
        <v>756</v>
      </c>
    </row>
    <row r="529" spans="3:4" hidden="1" outlineLevel="1" x14ac:dyDescent="0.3">
      <c r="C529" s="37" t="s">
        <v>799</v>
      </c>
      <c r="D529" s="35" t="s">
        <v>757</v>
      </c>
    </row>
    <row r="530" spans="3:4" hidden="1" outlineLevel="1" x14ac:dyDescent="0.3">
      <c r="C530" s="37" t="s">
        <v>800</v>
      </c>
      <c r="D530" s="35" t="s">
        <v>758</v>
      </c>
    </row>
    <row r="531" spans="3:4" hidden="1" outlineLevel="1" x14ac:dyDescent="0.3">
      <c r="C531" s="37" t="s">
        <v>801</v>
      </c>
      <c r="D531" s="35" t="s">
        <v>759</v>
      </c>
    </row>
    <row r="532" spans="3:4" hidden="1" outlineLevel="1" x14ac:dyDescent="0.3">
      <c r="C532" s="37" t="s">
        <v>802</v>
      </c>
      <c r="D532" s="35" t="s">
        <v>760</v>
      </c>
    </row>
    <row r="533" spans="3:4" hidden="1" outlineLevel="1" x14ac:dyDescent="0.3">
      <c r="C533" s="37" t="s">
        <v>803</v>
      </c>
      <c r="D533" s="35" t="s">
        <v>761</v>
      </c>
    </row>
    <row r="534" spans="3:4" hidden="1" outlineLevel="1" x14ac:dyDescent="0.3">
      <c r="C534" s="37" t="s">
        <v>804</v>
      </c>
      <c r="D534" s="35" t="s">
        <v>762</v>
      </c>
    </row>
    <row r="535" spans="3:4" hidden="1" outlineLevel="1" x14ac:dyDescent="0.3">
      <c r="C535" s="37" t="s">
        <v>805</v>
      </c>
      <c r="D535" s="35" t="s">
        <v>763</v>
      </c>
    </row>
    <row r="536" spans="3:4" hidden="1" outlineLevel="1" x14ac:dyDescent="0.3">
      <c r="C536" s="37" t="s">
        <v>806</v>
      </c>
      <c r="D536" s="35" t="s">
        <v>764</v>
      </c>
    </row>
    <row r="537" spans="3:4" hidden="1" outlineLevel="1" x14ac:dyDescent="0.3">
      <c r="C537" s="37" t="s">
        <v>807</v>
      </c>
      <c r="D537" s="35" t="s">
        <v>765</v>
      </c>
    </row>
    <row r="538" spans="3:4" hidden="1" outlineLevel="1" x14ac:dyDescent="0.3">
      <c r="C538" s="37" t="s">
        <v>808</v>
      </c>
      <c r="D538" s="35" t="s">
        <v>766</v>
      </c>
    </row>
    <row r="539" spans="3:4" hidden="1" outlineLevel="1" x14ac:dyDescent="0.3">
      <c r="C539" s="37" t="s">
        <v>809</v>
      </c>
      <c r="D539" s="35" t="s">
        <v>767</v>
      </c>
    </row>
    <row r="540" spans="3:4" hidden="1" outlineLevel="1" x14ac:dyDescent="0.3">
      <c r="C540" s="37" t="s">
        <v>810</v>
      </c>
      <c r="D540" s="35" t="s">
        <v>768</v>
      </c>
    </row>
    <row r="541" spans="3:4" hidden="1" outlineLevel="1" x14ac:dyDescent="0.3">
      <c r="C541" s="37" t="s">
        <v>811</v>
      </c>
      <c r="D541" s="35" t="s">
        <v>769</v>
      </c>
    </row>
    <row r="542" spans="3:4" hidden="1" outlineLevel="1" x14ac:dyDescent="0.3">
      <c r="C542" s="37" t="s">
        <v>812</v>
      </c>
      <c r="D542" s="35" t="s">
        <v>770</v>
      </c>
    </row>
    <row r="543" spans="3:4" hidden="1" outlineLevel="1" x14ac:dyDescent="0.3">
      <c r="C543" s="37" t="s">
        <v>813</v>
      </c>
      <c r="D543" s="35" t="s">
        <v>771</v>
      </c>
    </row>
    <row r="544" spans="3:4" hidden="1" outlineLevel="1" x14ac:dyDescent="0.3">
      <c r="C544" s="37" t="s">
        <v>814</v>
      </c>
      <c r="D544" s="35" t="s">
        <v>772</v>
      </c>
    </row>
    <row r="545" spans="2:4" hidden="1" outlineLevel="1" x14ac:dyDescent="0.3">
      <c r="C545" s="37" t="s">
        <v>815</v>
      </c>
      <c r="D545" s="35" t="s">
        <v>773</v>
      </c>
    </row>
    <row r="546" spans="2:4" hidden="1" outlineLevel="1" x14ac:dyDescent="0.3">
      <c r="C546" s="37" t="s">
        <v>816</v>
      </c>
      <c r="D546" s="35" t="s">
        <v>774</v>
      </c>
    </row>
    <row r="547" spans="2:4" hidden="1" outlineLevel="1" x14ac:dyDescent="0.3">
      <c r="C547" s="37" t="s">
        <v>817</v>
      </c>
      <c r="D547" s="35" t="s">
        <v>775</v>
      </c>
    </row>
    <row r="548" spans="2:4" hidden="1" outlineLevel="1" x14ac:dyDescent="0.3">
      <c r="C548" s="37" t="s">
        <v>818</v>
      </c>
      <c r="D548" s="35" t="s">
        <v>776</v>
      </c>
    </row>
    <row r="549" spans="2:4" hidden="1" outlineLevel="1" x14ac:dyDescent="0.3">
      <c r="C549" s="37" t="s">
        <v>819</v>
      </c>
      <c r="D549" s="35" t="s">
        <v>777</v>
      </c>
    </row>
    <row r="550" spans="2:4" collapsed="1" x14ac:dyDescent="0.3">
      <c r="B550" s="43" t="s">
        <v>370</v>
      </c>
      <c r="C550" t="s">
        <v>371</v>
      </c>
    </row>
    <row r="551" spans="2:4" hidden="1" outlineLevel="1" x14ac:dyDescent="0.3">
      <c r="C551" s="40" t="s">
        <v>779</v>
      </c>
      <c r="D551" s="35" t="s">
        <v>745</v>
      </c>
    </row>
    <row r="552" spans="2:4" hidden="1" outlineLevel="1" x14ac:dyDescent="0.3">
      <c r="C552" s="41" t="s">
        <v>780</v>
      </c>
      <c r="D552" s="42" t="s">
        <v>820</v>
      </c>
    </row>
    <row r="553" spans="2:4" hidden="1" outlineLevel="1" x14ac:dyDescent="0.3">
      <c r="C553" s="40" t="s">
        <v>781</v>
      </c>
      <c r="D553" s="35" t="s">
        <v>746</v>
      </c>
    </row>
    <row r="554" spans="2:4" hidden="1" outlineLevel="1" x14ac:dyDescent="0.3">
      <c r="C554" s="41" t="s">
        <v>782</v>
      </c>
      <c r="D554" s="35" t="s">
        <v>367</v>
      </c>
    </row>
    <row r="555" spans="2:4" hidden="1" outlineLevel="1" x14ac:dyDescent="0.3">
      <c r="C555" s="41" t="s">
        <v>785</v>
      </c>
      <c r="D555" s="35" t="s">
        <v>68</v>
      </c>
    </row>
    <row r="556" spans="2:4" hidden="1" outlineLevel="1" x14ac:dyDescent="0.3">
      <c r="C556" s="41" t="s">
        <v>786</v>
      </c>
      <c r="D556" s="35" t="s">
        <v>747</v>
      </c>
    </row>
    <row r="557" spans="2:4" hidden="1" outlineLevel="1" x14ac:dyDescent="0.3">
      <c r="C557" s="41" t="s">
        <v>783</v>
      </c>
      <c r="D557" s="35" t="s">
        <v>11</v>
      </c>
    </row>
    <row r="558" spans="2:4" hidden="1" outlineLevel="1" x14ac:dyDescent="0.3">
      <c r="C558" s="41" t="s">
        <v>784</v>
      </c>
      <c r="D558" s="35" t="s">
        <v>125</v>
      </c>
    </row>
    <row r="559" spans="2:4" hidden="1" outlineLevel="1" x14ac:dyDescent="0.3">
      <c r="C559" s="41" t="s">
        <v>787</v>
      </c>
      <c r="D559" s="35" t="s">
        <v>748</v>
      </c>
    </row>
    <row r="560" spans="2:4" hidden="1" outlineLevel="1" x14ac:dyDescent="0.3">
      <c r="C560" s="37" t="s">
        <v>788</v>
      </c>
      <c r="D560" s="35" t="s">
        <v>517</v>
      </c>
    </row>
    <row r="561" spans="3:4" hidden="1" outlineLevel="1" x14ac:dyDescent="0.3">
      <c r="C561" s="37" t="s">
        <v>789</v>
      </c>
      <c r="D561" s="35" t="s">
        <v>386</v>
      </c>
    </row>
    <row r="562" spans="3:4" hidden="1" outlineLevel="1" x14ac:dyDescent="0.3">
      <c r="C562" s="37" t="s">
        <v>790</v>
      </c>
      <c r="D562" s="35" t="s">
        <v>299</v>
      </c>
    </row>
    <row r="563" spans="3:4" hidden="1" outlineLevel="1" x14ac:dyDescent="0.3">
      <c r="C563" s="37" t="s">
        <v>791</v>
      </c>
      <c r="D563" s="35" t="s">
        <v>749</v>
      </c>
    </row>
    <row r="564" spans="3:4" hidden="1" outlineLevel="1" x14ac:dyDescent="0.3">
      <c r="C564" s="37" t="s">
        <v>792</v>
      </c>
      <c r="D564" s="35" t="s">
        <v>750</v>
      </c>
    </row>
    <row r="565" spans="3:4" hidden="1" outlineLevel="1" x14ac:dyDescent="0.3">
      <c r="C565" s="37" t="s">
        <v>793</v>
      </c>
      <c r="D565" s="35" t="s">
        <v>751</v>
      </c>
    </row>
    <row r="566" spans="3:4" hidden="1" outlineLevel="1" x14ac:dyDescent="0.3">
      <c r="C566" s="37" t="s">
        <v>794</v>
      </c>
      <c r="D566" s="35" t="s">
        <v>752</v>
      </c>
    </row>
    <row r="567" spans="3:4" hidden="1" outlineLevel="1" x14ac:dyDescent="0.3">
      <c r="C567" s="37" t="s">
        <v>795</v>
      </c>
      <c r="D567" s="35" t="s">
        <v>753</v>
      </c>
    </row>
    <row r="568" spans="3:4" hidden="1" outlineLevel="1" x14ac:dyDescent="0.3">
      <c r="C568" s="37" t="s">
        <v>796</v>
      </c>
      <c r="D568" s="35" t="s">
        <v>754</v>
      </c>
    </row>
    <row r="569" spans="3:4" hidden="1" outlineLevel="1" x14ac:dyDescent="0.3">
      <c r="C569" s="37" t="s">
        <v>797</v>
      </c>
      <c r="D569" s="35" t="s">
        <v>755</v>
      </c>
    </row>
    <row r="570" spans="3:4" hidden="1" outlineLevel="1" x14ac:dyDescent="0.3">
      <c r="C570" s="37" t="s">
        <v>798</v>
      </c>
      <c r="D570" s="35" t="s">
        <v>756</v>
      </c>
    </row>
    <row r="571" spans="3:4" hidden="1" outlineLevel="1" x14ac:dyDescent="0.3">
      <c r="C571" s="37" t="s">
        <v>799</v>
      </c>
      <c r="D571" s="35" t="s">
        <v>757</v>
      </c>
    </row>
    <row r="572" spans="3:4" hidden="1" outlineLevel="1" x14ac:dyDescent="0.3">
      <c r="C572" s="37" t="s">
        <v>800</v>
      </c>
      <c r="D572" s="35" t="s">
        <v>758</v>
      </c>
    </row>
    <row r="573" spans="3:4" hidden="1" outlineLevel="1" x14ac:dyDescent="0.3">
      <c r="C573" s="37" t="s">
        <v>801</v>
      </c>
      <c r="D573" s="35" t="s">
        <v>759</v>
      </c>
    </row>
    <row r="574" spans="3:4" hidden="1" outlineLevel="1" x14ac:dyDescent="0.3">
      <c r="C574" s="37" t="s">
        <v>802</v>
      </c>
      <c r="D574" s="35" t="s">
        <v>760</v>
      </c>
    </row>
    <row r="575" spans="3:4" hidden="1" outlineLevel="1" x14ac:dyDescent="0.3">
      <c r="C575" s="37" t="s">
        <v>803</v>
      </c>
      <c r="D575" s="35" t="s">
        <v>761</v>
      </c>
    </row>
    <row r="576" spans="3:4" hidden="1" outlineLevel="1" x14ac:dyDescent="0.3">
      <c r="C576" s="37" t="s">
        <v>804</v>
      </c>
      <c r="D576" s="35" t="s">
        <v>762</v>
      </c>
    </row>
    <row r="577" spans="2:4" hidden="1" outlineLevel="1" x14ac:dyDescent="0.3">
      <c r="C577" s="37" t="s">
        <v>805</v>
      </c>
      <c r="D577" s="35" t="s">
        <v>763</v>
      </c>
    </row>
    <row r="578" spans="2:4" hidden="1" outlineLevel="1" x14ac:dyDescent="0.3">
      <c r="C578" s="37" t="s">
        <v>806</v>
      </c>
      <c r="D578" s="35" t="s">
        <v>764</v>
      </c>
    </row>
    <row r="579" spans="2:4" hidden="1" outlineLevel="1" x14ac:dyDescent="0.3">
      <c r="C579" s="37" t="s">
        <v>807</v>
      </c>
      <c r="D579" s="35" t="s">
        <v>765</v>
      </c>
    </row>
    <row r="580" spans="2:4" hidden="1" outlineLevel="1" x14ac:dyDescent="0.3">
      <c r="C580" s="37" t="s">
        <v>808</v>
      </c>
      <c r="D580" s="35" t="s">
        <v>766</v>
      </c>
    </row>
    <row r="581" spans="2:4" hidden="1" outlineLevel="1" x14ac:dyDescent="0.3">
      <c r="C581" s="37" t="s">
        <v>809</v>
      </c>
      <c r="D581" s="35" t="s">
        <v>767</v>
      </c>
    </row>
    <row r="582" spans="2:4" hidden="1" outlineLevel="1" x14ac:dyDescent="0.3">
      <c r="C582" s="37" t="s">
        <v>810</v>
      </c>
      <c r="D582" s="35" t="s">
        <v>768</v>
      </c>
    </row>
    <row r="583" spans="2:4" hidden="1" outlineLevel="1" x14ac:dyDescent="0.3">
      <c r="C583" s="37" t="s">
        <v>811</v>
      </c>
      <c r="D583" s="35" t="s">
        <v>769</v>
      </c>
    </row>
    <row r="584" spans="2:4" hidden="1" outlineLevel="1" x14ac:dyDescent="0.3">
      <c r="C584" s="37" t="s">
        <v>812</v>
      </c>
      <c r="D584" s="35" t="s">
        <v>770</v>
      </c>
    </row>
    <row r="585" spans="2:4" hidden="1" outlineLevel="1" x14ac:dyDescent="0.3">
      <c r="C585" s="37" t="s">
        <v>813</v>
      </c>
      <c r="D585" s="35" t="s">
        <v>771</v>
      </c>
    </row>
    <row r="586" spans="2:4" hidden="1" outlineLevel="1" x14ac:dyDescent="0.3">
      <c r="C586" s="37" t="s">
        <v>814</v>
      </c>
      <c r="D586" s="35" t="s">
        <v>772</v>
      </c>
    </row>
    <row r="587" spans="2:4" hidden="1" outlineLevel="1" x14ac:dyDescent="0.3">
      <c r="C587" s="37" t="s">
        <v>815</v>
      </c>
      <c r="D587" s="35" t="s">
        <v>773</v>
      </c>
    </row>
    <row r="588" spans="2:4" hidden="1" outlineLevel="1" x14ac:dyDescent="0.3">
      <c r="C588" s="37" t="s">
        <v>816</v>
      </c>
      <c r="D588" s="35" t="s">
        <v>774</v>
      </c>
    </row>
    <row r="589" spans="2:4" hidden="1" outlineLevel="1" x14ac:dyDescent="0.3">
      <c r="C589" s="37" t="s">
        <v>817</v>
      </c>
      <c r="D589" s="35" t="s">
        <v>775</v>
      </c>
    </row>
    <row r="590" spans="2:4" hidden="1" outlineLevel="1" x14ac:dyDescent="0.3">
      <c r="C590" s="37" t="s">
        <v>818</v>
      </c>
      <c r="D590" s="35" t="s">
        <v>776</v>
      </c>
    </row>
    <row r="591" spans="2:4" hidden="1" outlineLevel="1" x14ac:dyDescent="0.3">
      <c r="C591" s="37" t="s">
        <v>819</v>
      </c>
      <c r="D591" s="35" t="s">
        <v>777</v>
      </c>
    </row>
    <row r="592" spans="2:4" collapsed="1" x14ac:dyDescent="0.3">
      <c r="B592" s="43" t="s">
        <v>413</v>
      </c>
      <c r="C592" t="s">
        <v>299</v>
      </c>
    </row>
    <row r="593" spans="3:4" hidden="1" outlineLevel="1" x14ac:dyDescent="0.3">
      <c r="C593" s="40" t="s">
        <v>779</v>
      </c>
      <c r="D593" s="35" t="s">
        <v>745</v>
      </c>
    </row>
    <row r="594" spans="3:4" hidden="1" outlineLevel="1" x14ac:dyDescent="0.3">
      <c r="C594" s="41" t="s">
        <v>780</v>
      </c>
      <c r="D594" s="42" t="s">
        <v>820</v>
      </c>
    </row>
    <row r="595" spans="3:4" hidden="1" outlineLevel="1" x14ac:dyDescent="0.3">
      <c r="C595" s="40" t="s">
        <v>781</v>
      </c>
      <c r="D595" s="35" t="s">
        <v>746</v>
      </c>
    </row>
    <row r="596" spans="3:4" hidden="1" outlineLevel="1" x14ac:dyDescent="0.3">
      <c r="C596" s="41" t="s">
        <v>782</v>
      </c>
      <c r="D596" s="35" t="s">
        <v>367</v>
      </c>
    </row>
    <row r="597" spans="3:4" hidden="1" outlineLevel="1" x14ac:dyDescent="0.3">
      <c r="C597" s="41" t="s">
        <v>785</v>
      </c>
      <c r="D597" s="35" t="s">
        <v>68</v>
      </c>
    </row>
    <row r="598" spans="3:4" hidden="1" outlineLevel="1" x14ac:dyDescent="0.3">
      <c r="C598" s="41" t="s">
        <v>786</v>
      </c>
      <c r="D598" s="35" t="s">
        <v>747</v>
      </c>
    </row>
    <row r="599" spans="3:4" hidden="1" outlineLevel="1" x14ac:dyDescent="0.3">
      <c r="C599" s="41" t="s">
        <v>783</v>
      </c>
      <c r="D599" s="35" t="s">
        <v>11</v>
      </c>
    </row>
    <row r="600" spans="3:4" hidden="1" outlineLevel="1" x14ac:dyDescent="0.3">
      <c r="C600" s="41" t="s">
        <v>784</v>
      </c>
      <c r="D600" s="35" t="s">
        <v>125</v>
      </c>
    </row>
    <row r="601" spans="3:4" hidden="1" outlineLevel="1" x14ac:dyDescent="0.3">
      <c r="C601" s="41" t="s">
        <v>787</v>
      </c>
      <c r="D601" s="35" t="s">
        <v>748</v>
      </c>
    </row>
    <row r="602" spans="3:4" hidden="1" outlineLevel="1" x14ac:dyDescent="0.3">
      <c r="C602" s="37" t="s">
        <v>788</v>
      </c>
      <c r="D602" s="35" t="s">
        <v>517</v>
      </c>
    </row>
    <row r="603" spans="3:4" hidden="1" outlineLevel="1" x14ac:dyDescent="0.3">
      <c r="C603" s="37" t="s">
        <v>789</v>
      </c>
      <c r="D603" s="35" t="s">
        <v>386</v>
      </c>
    </row>
    <row r="604" spans="3:4" hidden="1" outlineLevel="1" x14ac:dyDescent="0.3">
      <c r="C604" s="37" t="s">
        <v>790</v>
      </c>
      <c r="D604" s="35" t="s">
        <v>299</v>
      </c>
    </row>
    <row r="605" spans="3:4" hidden="1" outlineLevel="1" x14ac:dyDescent="0.3">
      <c r="C605" s="37" t="s">
        <v>791</v>
      </c>
      <c r="D605" s="35" t="s">
        <v>749</v>
      </c>
    </row>
    <row r="606" spans="3:4" hidden="1" outlineLevel="1" x14ac:dyDescent="0.3">
      <c r="C606" s="37" t="s">
        <v>792</v>
      </c>
      <c r="D606" s="35" t="s">
        <v>750</v>
      </c>
    </row>
    <row r="607" spans="3:4" hidden="1" outlineLevel="1" x14ac:dyDescent="0.3">
      <c r="C607" s="37" t="s">
        <v>793</v>
      </c>
      <c r="D607" s="35" t="s">
        <v>751</v>
      </c>
    </row>
    <row r="608" spans="3:4" hidden="1" outlineLevel="1" x14ac:dyDescent="0.3">
      <c r="C608" s="37" t="s">
        <v>794</v>
      </c>
      <c r="D608" s="35" t="s">
        <v>752</v>
      </c>
    </row>
    <row r="609" spans="3:4" hidden="1" outlineLevel="1" x14ac:dyDescent="0.3">
      <c r="C609" s="37" t="s">
        <v>795</v>
      </c>
      <c r="D609" s="35" t="s">
        <v>753</v>
      </c>
    </row>
    <row r="610" spans="3:4" hidden="1" outlineLevel="1" x14ac:dyDescent="0.3">
      <c r="C610" s="37" t="s">
        <v>796</v>
      </c>
      <c r="D610" s="35" t="s">
        <v>754</v>
      </c>
    </row>
    <row r="611" spans="3:4" hidden="1" outlineLevel="1" x14ac:dyDescent="0.3">
      <c r="C611" s="37" t="s">
        <v>797</v>
      </c>
      <c r="D611" s="35" t="s">
        <v>755</v>
      </c>
    </row>
    <row r="612" spans="3:4" hidden="1" outlineLevel="1" x14ac:dyDescent="0.3">
      <c r="C612" s="37" t="s">
        <v>798</v>
      </c>
      <c r="D612" s="35" t="s">
        <v>756</v>
      </c>
    </row>
    <row r="613" spans="3:4" hidden="1" outlineLevel="1" x14ac:dyDescent="0.3">
      <c r="C613" s="37" t="s">
        <v>799</v>
      </c>
      <c r="D613" s="35" t="s">
        <v>757</v>
      </c>
    </row>
    <row r="614" spans="3:4" hidden="1" outlineLevel="1" x14ac:dyDescent="0.3">
      <c r="C614" s="37" t="s">
        <v>800</v>
      </c>
      <c r="D614" s="35" t="s">
        <v>758</v>
      </c>
    </row>
    <row r="615" spans="3:4" hidden="1" outlineLevel="1" x14ac:dyDescent="0.3">
      <c r="C615" s="37" t="s">
        <v>801</v>
      </c>
      <c r="D615" s="35" t="s">
        <v>759</v>
      </c>
    </row>
    <row r="616" spans="3:4" hidden="1" outlineLevel="1" x14ac:dyDescent="0.3">
      <c r="C616" s="37" t="s">
        <v>802</v>
      </c>
      <c r="D616" s="35" t="s">
        <v>760</v>
      </c>
    </row>
    <row r="617" spans="3:4" hidden="1" outlineLevel="1" x14ac:dyDescent="0.3">
      <c r="C617" s="37" t="s">
        <v>803</v>
      </c>
      <c r="D617" s="35" t="s">
        <v>761</v>
      </c>
    </row>
    <row r="618" spans="3:4" hidden="1" outlineLevel="1" x14ac:dyDescent="0.3">
      <c r="C618" s="37" t="s">
        <v>804</v>
      </c>
      <c r="D618" s="35" t="s">
        <v>762</v>
      </c>
    </row>
    <row r="619" spans="3:4" hidden="1" outlineLevel="1" x14ac:dyDescent="0.3">
      <c r="C619" s="37" t="s">
        <v>805</v>
      </c>
      <c r="D619" s="35" t="s">
        <v>763</v>
      </c>
    </row>
    <row r="620" spans="3:4" hidden="1" outlineLevel="1" x14ac:dyDescent="0.3">
      <c r="C620" s="37" t="s">
        <v>806</v>
      </c>
      <c r="D620" s="35" t="s">
        <v>764</v>
      </c>
    </row>
    <row r="621" spans="3:4" hidden="1" outlineLevel="1" x14ac:dyDescent="0.3">
      <c r="C621" s="37" t="s">
        <v>807</v>
      </c>
      <c r="D621" s="35" t="s">
        <v>765</v>
      </c>
    </row>
    <row r="622" spans="3:4" hidden="1" outlineLevel="1" x14ac:dyDescent="0.3">
      <c r="C622" s="37" t="s">
        <v>808</v>
      </c>
      <c r="D622" s="35" t="s">
        <v>766</v>
      </c>
    </row>
    <row r="623" spans="3:4" hidden="1" outlineLevel="1" x14ac:dyDescent="0.3">
      <c r="C623" s="37" t="s">
        <v>809</v>
      </c>
      <c r="D623" s="35" t="s">
        <v>767</v>
      </c>
    </row>
    <row r="624" spans="3:4" hidden="1" outlineLevel="1" x14ac:dyDescent="0.3">
      <c r="C624" s="37" t="s">
        <v>810</v>
      </c>
      <c r="D624" s="35" t="s">
        <v>768</v>
      </c>
    </row>
    <row r="625" spans="2:4" hidden="1" outlineLevel="1" x14ac:dyDescent="0.3">
      <c r="C625" s="37" t="s">
        <v>811</v>
      </c>
      <c r="D625" s="35" t="s">
        <v>769</v>
      </c>
    </row>
    <row r="626" spans="2:4" hidden="1" outlineLevel="1" x14ac:dyDescent="0.3">
      <c r="C626" s="37" t="s">
        <v>812</v>
      </c>
      <c r="D626" s="35" t="s">
        <v>770</v>
      </c>
    </row>
    <row r="627" spans="2:4" hidden="1" outlineLevel="1" x14ac:dyDescent="0.3">
      <c r="C627" s="37" t="s">
        <v>813</v>
      </c>
      <c r="D627" s="35" t="s">
        <v>771</v>
      </c>
    </row>
    <row r="628" spans="2:4" hidden="1" outlineLevel="1" x14ac:dyDescent="0.3">
      <c r="C628" s="37" t="s">
        <v>814</v>
      </c>
      <c r="D628" s="35" t="s">
        <v>772</v>
      </c>
    </row>
    <row r="629" spans="2:4" hidden="1" outlineLevel="1" x14ac:dyDescent="0.3">
      <c r="C629" s="37" t="s">
        <v>815</v>
      </c>
      <c r="D629" s="35" t="s">
        <v>773</v>
      </c>
    </row>
    <row r="630" spans="2:4" hidden="1" outlineLevel="1" x14ac:dyDescent="0.3">
      <c r="C630" s="37" t="s">
        <v>816</v>
      </c>
      <c r="D630" s="35" t="s">
        <v>774</v>
      </c>
    </row>
    <row r="631" spans="2:4" hidden="1" outlineLevel="1" x14ac:dyDescent="0.3">
      <c r="C631" s="37" t="s">
        <v>817</v>
      </c>
      <c r="D631" s="35" t="s">
        <v>775</v>
      </c>
    </row>
    <row r="632" spans="2:4" hidden="1" outlineLevel="1" x14ac:dyDescent="0.3">
      <c r="C632" s="37" t="s">
        <v>818</v>
      </c>
      <c r="D632" s="35" t="s">
        <v>776</v>
      </c>
    </row>
    <row r="633" spans="2:4" hidden="1" outlineLevel="1" x14ac:dyDescent="0.3">
      <c r="C633" s="37" t="s">
        <v>819</v>
      </c>
      <c r="D633" s="35" t="s">
        <v>777</v>
      </c>
    </row>
    <row r="634" spans="2:4" collapsed="1" x14ac:dyDescent="0.3">
      <c r="B634" s="43" t="s">
        <v>524</v>
      </c>
      <c r="C634" t="s">
        <v>517</v>
      </c>
    </row>
    <row r="635" spans="2:4" x14ac:dyDescent="0.3">
      <c r="B635" s="43" t="s">
        <v>298</v>
      </c>
      <c r="C635" t="s">
        <v>299</v>
      </c>
    </row>
    <row r="636" spans="2:4" hidden="1" outlineLevel="1" x14ac:dyDescent="0.3">
      <c r="C636" s="40" t="s">
        <v>779</v>
      </c>
      <c r="D636" s="35" t="s">
        <v>745</v>
      </c>
    </row>
    <row r="637" spans="2:4" hidden="1" outlineLevel="1" x14ac:dyDescent="0.3">
      <c r="C637" s="41" t="s">
        <v>780</v>
      </c>
      <c r="D637" s="42" t="s">
        <v>820</v>
      </c>
    </row>
    <row r="638" spans="2:4" hidden="1" outlineLevel="1" x14ac:dyDescent="0.3">
      <c r="C638" s="40" t="s">
        <v>781</v>
      </c>
      <c r="D638" s="35" t="s">
        <v>746</v>
      </c>
    </row>
    <row r="639" spans="2:4" hidden="1" outlineLevel="1" x14ac:dyDescent="0.3">
      <c r="C639" s="41" t="s">
        <v>782</v>
      </c>
      <c r="D639" s="35" t="s">
        <v>367</v>
      </c>
    </row>
    <row r="640" spans="2:4" hidden="1" outlineLevel="1" x14ac:dyDescent="0.3">
      <c r="C640" s="41" t="s">
        <v>785</v>
      </c>
      <c r="D640" s="35" t="s">
        <v>68</v>
      </c>
    </row>
    <row r="641" spans="3:4" hidden="1" outlineLevel="1" x14ac:dyDescent="0.3">
      <c r="C641" s="41" t="s">
        <v>786</v>
      </c>
      <c r="D641" s="35" t="s">
        <v>747</v>
      </c>
    </row>
    <row r="642" spans="3:4" hidden="1" outlineLevel="1" x14ac:dyDescent="0.3">
      <c r="C642" s="41" t="s">
        <v>783</v>
      </c>
      <c r="D642" s="35" t="s">
        <v>11</v>
      </c>
    </row>
    <row r="643" spans="3:4" hidden="1" outlineLevel="1" x14ac:dyDescent="0.3">
      <c r="C643" s="41" t="s">
        <v>784</v>
      </c>
      <c r="D643" s="35" t="s">
        <v>125</v>
      </c>
    </row>
    <row r="644" spans="3:4" hidden="1" outlineLevel="1" x14ac:dyDescent="0.3">
      <c r="C644" s="41" t="s">
        <v>787</v>
      </c>
      <c r="D644" s="35" t="s">
        <v>748</v>
      </c>
    </row>
    <row r="645" spans="3:4" hidden="1" outlineLevel="1" x14ac:dyDescent="0.3">
      <c r="C645" s="37" t="s">
        <v>788</v>
      </c>
      <c r="D645" s="35" t="s">
        <v>517</v>
      </c>
    </row>
    <row r="646" spans="3:4" hidden="1" outlineLevel="1" x14ac:dyDescent="0.3">
      <c r="C646" s="37" t="s">
        <v>789</v>
      </c>
      <c r="D646" s="35" t="s">
        <v>386</v>
      </c>
    </row>
    <row r="647" spans="3:4" hidden="1" outlineLevel="1" x14ac:dyDescent="0.3">
      <c r="C647" s="37" t="s">
        <v>790</v>
      </c>
      <c r="D647" s="35" t="s">
        <v>299</v>
      </c>
    </row>
    <row r="648" spans="3:4" hidden="1" outlineLevel="1" x14ac:dyDescent="0.3">
      <c r="C648" s="37" t="s">
        <v>791</v>
      </c>
      <c r="D648" s="35" t="s">
        <v>749</v>
      </c>
    </row>
    <row r="649" spans="3:4" hidden="1" outlineLevel="1" x14ac:dyDescent="0.3">
      <c r="C649" s="37" t="s">
        <v>792</v>
      </c>
      <c r="D649" s="35" t="s">
        <v>750</v>
      </c>
    </row>
    <row r="650" spans="3:4" hidden="1" outlineLevel="1" x14ac:dyDescent="0.3">
      <c r="C650" s="37" t="s">
        <v>793</v>
      </c>
      <c r="D650" s="35" t="s">
        <v>751</v>
      </c>
    </row>
    <row r="651" spans="3:4" hidden="1" outlineLevel="1" x14ac:dyDescent="0.3">
      <c r="C651" s="37" t="s">
        <v>794</v>
      </c>
      <c r="D651" s="35" t="s">
        <v>752</v>
      </c>
    </row>
    <row r="652" spans="3:4" hidden="1" outlineLevel="1" x14ac:dyDescent="0.3">
      <c r="C652" s="37" t="s">
        <v>795</v>
      </c>
      <c r="D652" s="35" t="s">
        <v>753</v>
      </c>
    </row>
    <row r="653" spans="3:4" hidden="1" outlineLevel="1" x14ac:dyDescent="0.3">
      <c r="C653" s="37" t="s">
        <v>796</v>
      </c>
      <c r="D653" s="35" t="s">
        <v>754</v>
      </c>
    </row>
    <row r="654" spans="3:4" hidden="1" outlineLevel="1" x14ac:dyDescent="0.3">
      <c r="C654" s="37" t="s">
        <v>797</v>
      </c>
      <c r="D654" s="35" t="s">
        <v>755</v>
      </c>
    </row>
    <row r="655" spans="3:4" hidden="1" outlineLevel="1" x14ac:dyDescent="0.3">
      <c r="C655" s="37" t="s">
        <v>798</v>
      </c>
      <c r="D655" s="35" t="s">
        <v>756</v>
      </c>
    </row>
    <row r="656" spans="3:4" hidden="1" outlineLevel="1" x14ac:dyDescent="0.3">
      <c r="C656" s="37" t="s">
        <v>799</v>
      </c>
      <c r="D656" s="35" t="s">
        <v>757</v>
      </c>
    </row>
    <row r="657" spans="3:4" hidden="1" outlineLevel="1" x14ac:dyDescent="0.3">
      <c r="C657" s="37" t="s">
        <v>800</v>
      </c>
      <c r="D657" s="35" t="s">
        <v>758</v>
      </c>
    </row>
    <row r="658" spans="3:4" hidden="1" outlineLevel="1" x14ac:dyDescent="0.3">
      <c r="C658" s="37" t="s">
        <v>801</v>
      </c>
      <c r="D658" s="35" t="s">
        <v>759</v>
      </c>
    </row>
    <row r="659" spans="3:4" hidden="1" outlineLevel="1" x14ac:dyDescent="0.3">
      <c r="C659" s="37" t="s">
        <v>802</v>
      </c>
      <c r="D659" s="35" t="s">
        <v>760</v>
      </c>
    </row>
    <row r="660" spans="3:4" hidden="1" outlineLevel="1" x14ac:dyDescent="0.3">
      <c r="C660" s="37" t="s">
        <v>803</v>
      </c>
      <c r="D660" s="35" t="s">
        <v>761</v>
      </c>
    </row>
    <row r="661" spans="3:4" hidden="1" outlineLevel="1" x14ac:dyDescent="0.3">
      <c r="C661" s="37" t="s">
        <v>804</v>
      </c>
      <c r="D661" s="35" t="s">
        <v>762</v>
      </c>
    </row>
    <row r="662" spans="3:4" hidden="1" outlineLevel="1" x14ac:dyDescent="0.3">
      <c r="C662" s="37" t="s">
        <v>805</v>
      </c>
      <c r="D662" s="35" t="s">
        <v>763</v>
      </c>
    </row>
    <row r="663" spans="3:4" hidden="1" outlineLevel="1" x14ac:dyDescent="0.3">
      <c r="C663" s="37" t="s">
        <v>806</v>
      </c>
      <c r="D663" s="35" t="s">
        <v>764</v>
      </c>
    </row>
    <row r="664" spans="3:4" hidden="1" outlineLevel="1" x14ac:dyDescent="0.3">
      <c r="C664" s="37" t="s">
        <v>807</v>
      </c>
      <c r="D664" s="35" t="s">
        <v>765</v>
      </c>
    </row>
    <row r="665" spans="3:4" hidden="1" outlineLevel="1" x14ac:dyDescent="0.3">
      <c r="C665" s="37" t="s">
        <v>808</v>
      </c>
      <c r="D665" s="35" t="s">
        <v>766</v>
      </c>
    </row>
    <row r="666" spans="3:4" hidden="1" outlineLevel="1" x14ac:dyDescent="0.3">
      <c r="C666" s="37" t="s">
        <v>809</v>
      </c>
      <c r="D666" s="35" t="s">
        <v>767</v>
      </c>
    </row>
    <row r="667" spans="3:4" hidden="1" outlineLevel="1" x14ac:dyDescent="0.3">
      <c r="C667" s="37" t="s">
        <v>810</v>
      </c>
      <c r="D667" s="35" t="s">
        <v>768</v>
      </c>
    </row>
    <row r="668" spans="3:4" hidden="1" outlineLevel="1" x14ac:dyDescent="0.3">
      <c r="C668" s="37" t="s">
        <v>811</v>
      </c>
      <c r="D668" s="35" t="s">
        <v>769</v>
      </c>
    </row>
    <row r="669" spans="3:4" hidden="1" outlineLevel="1" x14ac:dyDescent="0.3">
      <c r="C669" s="37" t="s">
        <v>812</v>
      </c>
      <c r="D669" s="35" t="s">
        <v>770</v>
      </c>
    </row>
    <row r="670" spans="3:4" hidden="1" outlineLevel="1" x14ac:dyDescent="0.3">
      <c r="C670" s="37" t="s">
        <v>813</v>
      </c>
      <c r="D670" s="35" t="s">
        <v>771</v>
      </c>
    </row>
    <row r="671" spans="3:4" hidden="1" outlineLevel="1" x14ac:dyDescent="0.3">
      <c r="C671" s="37" t="s">
        <v>814</v>
      </c>
      <c r="D671" s="35" t="s">
        <v>772</v>
      </c>
    </row>
    <row r="672" spans="3:4" hidden="1" outlineLevel="1" x14ac:dyDescent="0.3">
      <c r="C672" s="37" t="s">
        <v>815</v>
      </c>
      <c r="D672" s="35" t="s">
        <v>773</v>
      </c>
    </row>
    <row r="673" spans="2:4" hidden="1" outlineLevel="1" x14ac:dyDescent="0.3">
      <c r="C673" s="37" t="s">
        <v>816</v>
      </c>
      <c r="D673" s="35" t="s">
        <v>774</v>
      </c>
    </row>
    <row r="674" spans="2:4" hidden="1" outlineLevel="1" x14ac:dyDescent="0.3">
      <c r="C674" s="37" t="s">
        <v>817</v>
      </c>
      <c r="D674" s="35" t="s">
        <v>775</v>
      </c>
    </row>
    <row r="675" spans="2:4" hidden="1" outlineLevel="1" x14ac:dyDescent="0.3">
      <c r="C675" s="37" t="s">
        <v>818</v>
      </c>
      <c r="D675" s="35" t="s">
        <v>776</v>
      </c>
    </row>
    <row r="676" spans="2:4" hidden="1" outlineLevel="1" x14ac:dyDescent="0.3">
      <c r="C676" s="37" t="s">
        <v>819</v>
      </c>
      <c r="D676" s="35" t="s">
        <v>777</v>
      </c>
    </row>
    <row r="677" spans="2:4" collapsed="1" x14ac:dyDescent="0.3">
      <c r="B677" s="43" t="s">
        <v>124</v>
      </c>
      <c r="C677" t="s">
        <v>125</v>
      </c>
    </row>
    <row r="678" spans="2:4" hidden="1" outlineLevel="1" x14ac:dyDescent="0.3">
      <c r="C678" s="40" t="s">
        <v>779</v>
      </c>
      <c r="D678" s="35" t="s">
        <v>745</v>
      </c>
    </row>
    <row r="679" spans="2:4" hidden="1" outlineLevel="1" x14ac:dyDescent="0.3">
      <c r="C679" s="41" t="s">
        <v>780</v>
      </c>
      <c r="D679" s="42" t="s">
        <v>820</v>
      </c>
    </row>
    <row r="680" spans="2:4" hidden="1" outlineLevel="1" x14ac:dyDescent="0.3">
      <c r="C680" s="40" t="s">
        <v>781</v>
      </c>
      <c r="D680" s="35" t="s">
        <v>746</v>
      </c>
    </row>
    <row r="681" spans="2:4" hidden="1" outlineLevel="1" x14ac:dyDescent="0.3">
      <c r="C681" s="41" t="s">
        <v>782</v>
      </c>
      <c r="D681" s="35" t="s">
        <v>367</v>
      </c>
    </row>
    <row r="682" spans="2:4" hidden="1" outlineLevel="1" x14ac:dyDescent="0.3">
      <c r="C682" s="41" t="s">
        <v>785</v>
      </c>
      <c r="D682" s="35" t="s">
        <v>68</v>
      </c>
    </row>
    <row r="683" spans="2:4" hidden="1" outlineLevel="1" x14ac:dyDescent="0.3">
      <c r="C683" s="41" t="s">
        <v>786</v>
      </c>
      <c r="D683" s="35" t="s">
        <v>747</v>
      </c>
    </row>
    <row r="684" spans="2:4" hidden="1" outlineLevel="1" x14ac:dyDescent="0.3">
      <c r="C684" s="41" t="s">
        <v>783</v>
      </c>
      <c r="D684" s="35" t="s">
        <v>11</v>
      </c>
    </row>
    <row r="685" spans="2:4" hidden="1" outlineLevel="1" x14ac:dyDescent="0.3">
      <c r="C685" s="41" t="s">
        <v>784</v>
      </c>
      <c r="D685" s="35" t="s">
        <v>125</v>
      </c>
    </row>
    <row r="686" spans="2:4" hidden="1" outlineLevel="1" x14ac:dyDescent="0.3">
      <c r="C686" s="41" t="s">
        <v>787</v>
      </c>
      <c r="D686" s="35" t="s">
        <v>748</v>
      </c>
    </row>
    <row r="687" spans="2:4" hidden="1" outlineLevel="1" x14ac:dyDescent="0.3">
      <c r="C687" s="37" t="s">
        <v>788</v>
      </c>
      <c r="D687" s="35" t="s">
        <v>517</v>
      </c>
    </row>
    <row r="688" spans="2:4" hidden="1" outlineLevel="1" x14ac:dyDescent="0.3">
      <c r="C688" s="37" t="s">
        <v>789</v>
      </c>
      <c r="D688" s="35" t="s">
        <v>386</v>
      </c>
    </row>
    <row r="689" spans="3:4" hidden="1" outlineLevel="1" x14ac:dyDescent="0.3">
      <c r="C689" s="37" t="s">
        <v>790</v>
      </c>
      <c r="D689" s="35" t="s">
        <v>299</v>
      </c>
    </row>
    <row r="690" spans="3:4" hidden="1" outlineLevel="1" x14ac:dyDescent="0.3">
      <c r="C690" s="37" t="s">
        <v>791</v>
      </c>
      <c r="D690" s="35" t="s">
        <v>749</v>
      </c>
    </row>
    <row r="691" spans="3:4" hidden="1" outlineLevel="1" x14ac:dyDescent="0.3">
      <c r="C691" s="37" t="s">
        <v>792</v>
      </c>
      <c r="D691" s="35" t="s">
        <v>750</v>
      </c>
    </row>
    <row r="692" spans="3:4" hidden="1" outlineLevel="1" x14ac:dyDescent="0.3">
      <c r="C692" s="37" t="s">
        <v>793</v>
      </c>
      <c r="D692" s="35" t="s">
        <v>751</v>
      </c>
    </row>
    <row r="693" spans="3:4" hidden="1" outlineLevel="1" x14ac:dyDescent="0.3">
      <c r="C693" s="37" t="s">
        <v>794</v>
      </c>
      <c r="D693" s="35" t="s">
        <v>752</v>
      </c>
    </row>
    <row r="694" spans="3:4" hidden="1" outlineLevel="1" x14ac:dyDescent="0.3">
      <c r="C694" s="37" t="s">
        <v>795</v>
      </c>
      <c r="D694" s="35" t="s">
        <v>753</v>
      </c>
    </row>
    <row r="695" spans="3:4" hidden="1" outlineLevel="1" x14ac:dyDescent="0.3">
      <c r="C695" s="37" t="s">
        <v>796</v>
      </c>
      <c r="D695" s="35" t="s">
        <v>754</v>
      </c>
    </row>
    <row r="696" spans="3:4" hidden="1" outlineLevel="1" x14ac:dyDescent="0.3">
      <c r="C696" s="37" t="s">
        <v>797</v>
      </c>
      <c r="D696" s="35" t="s">
        <v>755</v>
      </c>
    </row>
    <row r="697" spans="3:4" hidden="1" outlineLevel="1" x14ac:dyDescent="0.3">
      <c r="C697" s="37" t="s">
        <v>798</v>
      </c>
      <c r="D697" s="35" t="s">
        <v>756</v>
      </c>
    </row>
    <row r="698" spans="3:4" hidden="1" outlineLevel="1" x14ac:dyDescent="0.3">
      <c r="C698" s="37" t="s">
        <v>799</v>
      </c>
      <c r="D698" s="35" t="s">
        <v>757</v>
      </c>
    </row>
    <row r="699" spans="3:4" hidden="1" outlineLevel="1" x14ac:dyDescent="0.3">
      <c r="C699" s="37" t="s">
        <v>800</v>
      </c>
      <c r="D699" s="35" t="s">
        <v>758</v>
      </c>
    </row>
    <row r="700" spans="3:4" hidden="1" outlineLevel="1" x14ac:dyDescent="0.3">
      <c r="C700" s="37" t="s">
        <v>801</v>
      </c>
      <c r="D700" s="35" t="s">
        <v>759</v>
      </c>
    </row>
    <row r="701" spans="3:4" hidden="1" outlineLevel="1" x14ac:dyDescent="0.3">
      <c r="C701" s="37" t="s">
        <v>802</v>
      </c>
      <c r="D701" s="35" t="s">
        <v>760</v>
      </c>
    </row>
    <row r="702" spans="3:4" hidden="1" outlineLevel="1" x14ac:dyDescent="0.3">
      <c r="C702" s="37" t="s">
        <v>803</v>
      </c>
      <c r="D702" s="35" t="s">
        <v>761</v>
      </c>
    </row>
    <row r="703" spans="3:4" hidden="1" outlineLevel="1" x14ac:dyDescent="0.3">
      <c r="C703" s="37" t="s">
        <v>804</v>
      </c>
      <c r="D703" s="35" t="s">
        <v>762</v>
      </c>
    </row>
    <row r="704" spans="3:4" hidden="1" outlineLevel="1" x14ac:dyDescent="0.3">
      <c r="C704" s="37" t="s">
        <v>805</v>
      </c>
      <c r="D704" s="35" t="s">
        <v>763</v>
      </c>
    </row>
    <row r="705" spans="2:4" hidden="1" outlineLevel="1" x14ac:dyDescent="0.3">
      <c r="C705" s="37" t="s">
        <v>806</v>
      </c>
      <c r="D705" s="35" t="s">
        <v>764</v>
      </c>
    </row>
    <row r="706" spans="2:4" hidden="1" outlineLevel="1" x14ac:dyDescent="0.3">
      <c r="C706" s="37" t="s">
        <v>807</v>
      </c>
      <c r="D706" s="35" t="s">
        <v>765</v>
      </c>
    </row>
    <row r="707" spans="2:4" hidden="1" outlineLevel="1" x14ac:dyDescent="0.3">
      <c r="C707" s="37" t="s">
        <v>808</v>
      </c>
      <c r="D707" s="35" t="s">
        <v>766</v>
      </c>
    </row>
    <row r="708" spans="2:4" hidden="1" outlineLevel="1" x14ac:dyDescent="0.3">
      <c r="C708" s="37" t="s">
        <v>809</v>
      </c>
      <c r="D708" s="35" t="s">
        <v>767</v>
      </c>
    </row>
    <row r="709" spans="2:4" hidden="1" outlineLevel="1" x14ac:dyDescent="0.3">
      <c r="C709" s="37" t="s">
        <v>810</v>
      </c>
      <c r="D709" s="35" t="s">
        <v>768</v>
      </c>
    </row>
    <row r="710" spans="2:4" hidden="1" outlineLevel="1" x14ac:dyDescent="0.3">
      <c r="C710" s="37" t="s">
        <v>811</v>
      </c>
      <c r="D710" s="35" t="s">
        <v>769</v>
      </c>
    </row>
    <row r="711" spans="2:4" hidden="1" outlineLevel="1" x14ac:dyDescent="0.3">
      <c r="C711" s="37" t="s">
        <v>812</v>
      </c>
      <c r="D711" s="35" t="s">
        <v>770</v>
      </c>
    </row>
    <row r="712" spans="2:4" hidden="1" outlineLevel="1" x14ac:dyDescent="0.3">
      <c r="C712" s="37" t="s">
        <v>813</v>
      </c>
      <c r="D712" s="35" t="s">
        <v>771</v>
      </c>
    </row>
    <row r="713" spans="2:4" hidden="1" outlineLevel="1" x14ac:dyDescent="0.3">
      <c r="C713" s="37" t="s">
        <v>814</v>
      </c>
      <c r="D713" s="35" t="s">
        <v>772</v>
      </c>
    </row>
    <row r="714" spans="2:4" hidden="1" outlineLevel="1" x14ac:dyDescent="0.3">
      <c r="C714" s="37" t="s">
        <v>815</v>
      </c>
      <c r="D714" s="35" t="s">
        <v>773</v>
      </c>
    </row>
    <row r="715" spans="2:4" hidden="1" outlineLevel="1" x14ac:dyDescent="0.3">
      <c r="C715" s="37" t="s">
        <v>816</v>
      </c>
      <c r="D715" s="35" t="s">
        <v>774</v>
      </c>
    </row>
    <row r="716" spans="2:4" hidden="1" outlineLevel="1" x14ac:dyDescent="0.3">
      <c r="C716" s="37" t="s">
        <v>817</v>
      </c>
      <c r="D716" s="35" t="s">
        <v>775</v>
      </c>
    </row>
    <row r="717" spans="2:4" hidden="1" outlineLevel="1" x14ac:dyDescent="0.3">
      <c r="C717" s="37" t="s">
        <v>818</v>
      </c>
      <c r="D717" s="35" t="s">
        <v>776</v>
      </c>
    </row>
    <row r="718" spans="2:4" hidden="1" outlineLevel="1" x14ac:dyDescent="0.3">
      <c r="C718" s="37" t="s">
        <v>819</v>
      </c>
      <c r="D718" s="35" t="s">
        <v>777</v>
      </c>
    </row>
    <row r="719" spans="2:4" collapsed="1" x14ac:dyDescent="0.3">
      <c r="B719" s="43" t="s">
        <v>389</v>
      </c>
      <c r="C719" t="s">
        <v>592</v>
      </c>
    </row>
    <row r="720" spans="2:4" hidden="1" outlineLevel="1" x14ac:dyDescent="0.3">
      <c r="C720" s="40" t="s">
        <v>779</v>
      </c>
      <c r="D720" s="35" t="s">
        <v>745</v>
      </c>
    </row>
    <row r="721" spans="3:4" hidden="1" outlineLevel="1" x14ac:dyDescent="0.3">
      <c r="C721" s="41" t="s">
        <v>780</v>
      </c>
      <c r="D721" s="42" t="s">
        <v>820</v>
      </c>
    </row>
    <row r="722" spans="3:4" hidden="1" outlineLevel="1" x14ac:dyDescent="0.3">
      <c r="C722" s="40" t="s">
        <v>781</v>
      </c>
      <c r="D722" s="35" t="s">
        <v>746</v>
      </c>
    </row>
    <row r="723" spans="3:4" hidden="1" outlineLevel="1" x14ac:dyDescent="0.3">
      <c r="C723" s="41" t="s">
        <v>782</v>
      </c>
      <c r="D723" s="35" t="s">
        <v>367</v>
      </c>
    </row>
    <row r="724" spans="3:4" hidden="1" outlineLevel="1" x14ac:dyDescent="0.3">
      <c r="C724" s="41" t="s">
        <v>785</v>
      </c>
      <c r="D724" s="35" t="s">
        <v>68</v>
      </c>
    </row>
    <row r="725" spans="3:4" hidden="1" outlineLevel="1" x14ac:dyDescent="0.3">
      <c r="C725" s="41" t="s">
        <v>786</v>
      </c>
      <c r="D725" s="35" t="s">
        <v>747</v>
      </c>
    </row>
    <row r="726" spans="3:4" hidden="1" outlineLevel="1" x14ac:dyDescent="0.3">
      <c r="C726" s="41" t="s">
        <v>783</v>
      </c>
      <c r="D726" s="35" t="s">
        <v>11</v>
      </c>
    </row>
    <row r="727" spans="3:4" hidden="1" outlineLevel="1" x14ac:dyDescent="0.3">
      <c r="C727" s="41" t="s">
        <v>784</v>
      </c>
      <c r="D727" s="35" t="s">
        <v>125</v>
      </c>
    </row>
    <row r="728" spans="3:4" hidden="1" outlineLevel="1" x14ac:dyDescent="0.3">
      <c r="C728" s="41" t="s">
        <v>787</v>
      </c>
      <c r="D728" s="35" t="s">
        <v>748</v>
      </c>
    </row>
    <row r="729" spans="3:4" hidden="1" outlineLevel="1" x14ac:dyDescent="0.3">
      <c r="C729" s="37" t="s">
        <v>788</v>
      </c>
      <c r="D729" s="35" t="s">
        <v>517</v>
      </c>
    </row>
    <row r="730" spans="3:4" hidden="1" outlineLevel="1" x14ac:dyDescent="0.3">
      <c r="C730" s="37" t="s">
        <v>789</v>
      </c>
      <c r="D730" s="35" t="s">
        <v>386</v>
      </c>
    </row>
    <row r="731" spans="3:4" hidden="1" outlineLevel="1" x14ac:dyDescent="0.3">
      <c r="C731" s="37" t="s">
        <v>790</v>
      </c>
      <c r="D731" s="35" t="s">
        <v>299</v>
      </c>
    </row>
    <row r="732" spans="3:4" hidden="1" outlineLevel="1" x14ac:dyDescent="0.3">
      <c r="C732" s="37" t="s">
        <v>791</v>
      </c>
      <c r="D732" s="35" t="s">
        <v>749</v>
      </c>
    </row>
    <row r="733" spans="3:4" hidden="1" outlineLevel="1" x14ac:dyDescent="0.3">
      <c r="C733" s="37" t="s">
        <v>792</v>
      </c>
      <c r="D733" s="35" t="s">
        <v>750</v>
      </c>
    </row>
    <row r="734" spans="3:4" hidden="1" outlineLevel="1" x14ac:dyDescent="0.3">
      <c r="C734" s="37" t="s">
        <v>793</v>
      </c>
      <c r="D734" s="35" t="s">
        <v>751</v>
      </c>
    </row>
    <row r="735" spans="3:4" hidden="1" outlineLevel="1" x14ac:dyDescent="0.3">
      <c r="C735" s="37" t="s">
        <v>794</v>
      </c>
      <c r="D735" s="35" t="s">
        <v>752</v>
      </c>
    </row>
    <row r="736" spans="3:4" hidden="1" outlineLevel="1" x14ac:dyDescent="0.3">
      <c r="C736" s="37" t="s">
        <v>795</v>
      </c>
      <c r="D736" s="35" t="s">
        <v>753</v>
      </c>
    </row>
    <row r="737" spans="3:4" hidden="1" outlineLevel="1" x14ac:dyDescent="0.3">
      <c r="C737" s="37" t="s">
        <v>796</v>
      </c>
      <c r="D737" s="35" t="s">
        <v>754</v>
      </c>
    </row>
    <row r="738" spans="3:4" hidden="1" outlineLevel="1" x14ac:dyDescent="0.3">
      <c r="C738" s="37" t="s">
        <v>797</v>
      </c>
      <c r="D738" s="35" t="s">
        <v>755</v>
      </c>
    </row>
    <row r="739" spans="3:4" hidden="1" outlineLevel="1" x14ac:dyDescent="0.3">
      <c r="C739" s="37" t="s">
        <v>798</v>
      </c>
      <c r="D739" s="35" t="s">
        <v>756</v>
      </c>
    </row>
    <row r="740" spans="3:4" hidden="1" outlineLevel="1" x14ac:dyDescent="0.3">
      <c r="C740" s="37" t="s">
        <v>799</v>
      </c>
      <c r="D740" s="35" t="s">
        <v>757</v>
      </c>
    </row>
    <row r="741" spans="3:4" hidden="1" outlineLevel="1" x14ac:dyDescent="0.3">
      <c r="C741" s="37" t="s">
        <v>800</v>
      </c>
      <c r="D741" s="35" t="s">
        <v>758</v>
      </c>
    </row>
    <row r="742" spans="3:4" hidden="1" outlineLevel="1" x14ac:dyDescent="0.3">
      <c r="C742" s="37" t="s">
        <v>801</v>
      </c>
      <c r="D742" s="35" t="s">
        <v>759</v>
      </c>
    </row>
    <row r="743" spans="3:4" hidden="1" outlineLevel="1" x14ac:dyDescent="0.3">
      <c r="C743" s="37" t="s">
        <v>802</v>
      </c>
      <c r="D743" s="35" t="s">
        <v>760</v>
      </c>
    </row>
    <row r="744" spans="3:4" hidden="1" outlineLevel="1" x14ac:dyDescent="0.3">
      <c r="C744" s="37" t="s">
        <v>803</v>
      </c>
      <c r="D744" s="35" t="s">
        <v>761</v>
      </c>
    </row>
    <row r="745" spans="3:4" hidden="1" outlineLevel="1" x14ac:dyDescent="0.3">
      <c r="C745" s="37" t="s">
        <v>804</v>
      </c>
      <c r="D745" s="35" t="s">
        <v>762</v>
      </c>
    </row>
    <row r="746" spans="3:4" hidden="1" outlineLevel="1" x14ac:dyDescent="0.3">
      <c r="C746" s="37" t="s">
        <v>805</v>
      </c>
      <c r="D746" s="35" t="s">
        <v>763</v>
      </c>
    </row>
    <row r="747" spans="3:4" hidden="1" outlineLevel="1" x14ac:dyDescent="0.3">
      <c r="C747" s="37" t="s">
        <v>806</v>
      </c>
      <c r="D747" s="35" t="s">
        <v>764</v>
      </c>
    </row>
    <row r="748" spans="3:4" hidden="1" outlineLevel="1" x14ac:dyDescent="0.3">
      <c r="C748" s="37" t="s">
        <v>807</v>
      </c>
      <c r="D748" s="35" t="s">
        <v>765</v>
      </c>
    </row>
    <row r="749" spans="3:4" hidden="1" outlineLevel="1" x14ac:dyDescent="0.3">
      <c r="C749" s="37" t="s">
        <v>808</v>
      </c>
      <c r="D749" s="35" t="s">
        <v>766</v>
      </c>
    </row>
    <row r="750" spans="3:4" hidden="1" outlineLevel="1" x14ac:dyDescent="0.3">
      <c r="C750" s="37" t="s">
        <v>809</v>
      </c>
      <c r="D750" s="35" t="s">
        <v>767</v>
      </c>
    </row>
    <row r="751" spans="3:4" hidden="1" outlineLevel="1" x14ac:dyDescent="0.3">
      <c r="C751" s="37" t="s">
        <v>810</v>
      </c>
      <c r="D751" s="35" t="s">
        <v>768</v>
      </c>
    </row>
    <row r="752" spans="3:4" hidden="1" outlineLevel="1" x14ac:dyDescent="0.3">
      <c r="C752" s="37" t="s">
        <v>811</v>
      </c>
      <c r="D752" s="35" t="s">
        <v>769</v>
      </c>
    </row>
    <row r="753" spans="2:4" hidden="1" outlineLevel="1" x14ac:dyDescent="0.3">
      <c r="C753" s="37" t="s">
        <v>812</v>
      </c>
      <c r="D753" s="35" t="s">
        <v>770</v>
      </c>
    </row>
    <row r="754" spans="2:4" hidden="1" outlineLevel="1" x14ac:dyDescent="0.3">
      <c r="C754" s="37" t="s">
        <v>813</v>
      </c>
      <c r="D754" s="35" t="s">
        <v>771</v>
      </c>
    </row>
    <row r="755" spans="2:4" hidden="1" outlineLevel="1" x14ac:dyDescent="0.3">
      <c r="C755" s="37" t="s">
        <v>814</v>
      </c>
      <c r="D755" s="35" t="s">
        <v>772</v>
      </c>
    </row>
    <row r="756" spans="2:4" hidden="1" outlineLevel="1" x14ac:dyDescent="0.3">
      <c r="C756" s="37" t="s">
        <v>815</v>
      </c>
      <c r="D756" s="35" t="s">
        <v>773</v>
      </c>
    </row>
    <row r="757" spans="2:4" hidden="1" outlineLevel="1" x14ac:dyDescent="0.3">
      <c r="C757" s="37" t="s">
        <v>816</v>
      </c>
      <c r="D757" s="35" t="s">
        <v>774</v>
      </c>
    </row>
    <row r="758" spans="2:4" hidden="1" outlineLevel="1" x14ac:dyDescent="0.3">
      <c r="C758" s="37" t="s">
        <v>817</v>
      </c>
      <c r="D758" s="35" t="s">
        <v>775</v>
      </c>
    </row>
    <row r="759" spans="2:4" hidden="1" outlineLevel="1" x14ac:dyDescent="0.3">
      <c r="C759" s="37" t="s">
        <v>818</v>
      </c>
      <c r="D759" s="35" t="s">
        <v>776</v>
      </c>
    </row>
    <row r="760" spans="2:4" hidden="1" outlineLevel="1" x14ac:dyDescent="0.3">
      <c r="C760" s="37" t="s">
        <v>819</v>
      </c>
      <c r="D760" s="35" t="s">
        <v>777</v>
      </c>
    </row>
    <row r="761" spans="2:4" collapsed="1" x14ac:dyDescent="0.3">
      <c r="B761" s="43" t="s">
        <v>226</v>
      </c>
      <c r="C761" t="s">
        <v>137</v>
      </c>
    </row>
    <row r="762" spans="2:4" hidden="1" outlineLevel="1" x14ac:dyDescent="0.3">
      <c r="C762" s="40" t="s">
        <v>779</v>
      </c>
      <c r="D762" s="35" t="s">
        <v>745</v>
      </c>
    </row>
    <row r="763" spans="2:4" hidden="1" outlineLevel="1" x14ac:dyDescent="0.3">
      <c r="C763" s="41" t="s">
        <v>780</v>
      </c>
      <c r="D763" s="42" t="s">
        <v>820</v>
      </c>
    </row>
    <row r="764" spans="2:4" hidden="1" outlineLevel="1" x14ac:dyDescent="0.3">
      <c r="C764" s="40" t="s">
        <v>781</v>
      </c>
      <c r="D764" s="35" t="s">
        <v>746</v>
      </c>
    </row>
    <row r="765" spans="2:4" hidden="1" outlineLevel="1" x14ac:dyDescent="0.3">
      <c r="C765" s="41" t="s">
        <v>782</v>
      </c>
      <c r="D765" s="35" t="s">
        <v>367</v>
      </c>
    </row>
    <row r="766" spans="2:4" hidden="1" outlineLevel="1" x14ac:dyDescent="0.3">
      <c r="C766" s="41" t="s">
        <v>785</v>
      </c>
      <c r="D766" s="35" t="s">
        <v>68</v>
      </c>
    </row>
    <row r="767" spans="2:4" hidden="1" outlineLevel="1" x14ac:dyDescent="0.3">
      <c r="C767" s="41" t="s">
        <v>786</v>
      </c>
      <c r="D767" s="35" t="s">
        <v>747</v>
      </c>
    </row>
    <row r="768" spans="2:4" hidden="1" outlineLevel="1" x14ac:dyDescent="0.3">
      <c r="C768" s="41" t="s">
        <v>783</v>
      </c>
      <c r="D768" s="35" t="s">
        <v>11</v>
      </c>
    </row>
    <row r="769" spans="3:4" hidden="1" outlineLevel="1" x14ac:dyDescent="0.3">
      <c r="C769" s="41" t="s">
        <v>784</v>
      </c>
      <c r="D769" s="35" t="s">
        <v>125</v>
      </c>
    </row>
    <row r="770" spans="3:4" hidden="1" outlineLevel="1" x14ac:dyDescent="0.3">
      <c r="C770" s="41" t="s">
        <v>787</v>
      </c>
      <c r="D770" s="35" t="s">
        <v>748</v>
      </c>
    </row>
    <row r="771" spans="3:4" hidden="1" outlineLevel="1" x14ac:dyDescent="0.3">
      <c r="C771" s="37" t="s">
        <v>788</v>
      </c>
      <c r="D771" s="35" t="s">
        <v>517</v>
      </c>
    </row>
    <row r="772" spans="3:4" hidden="1" outlineLevel="1" x14ac:dyDescent="0.3">
      <c r="C772" s="37" t="s">
        <v>789</v>
      </c>
      <c r="D772" s="35" t="s">
        <v>386</v>
      </c>
    </row>
    <row r="773" spans="3:4" hidden="1" outlineLevel="1" x14ac:dyDescent="0.3">
      <c r="C773" s="37" t="s">
        <v>790</v>
      </c>
      <c r="D773" s="35" t="s">
        <v>299</v>
      </c>
    </row>
    <row r="774" spans="3:4" hidden="1" outlineLevel="1" x14ac:dyDescent="0.3">
      <c r="C774" s="37" t="s">
        <v>791</v>
      </c>
      <c r="D774" s="35" t="s">
        <v>749</v>
      </c>
    </row>
    <row r="775" spans="3:4" hidden="1" outlineLevel="1" x14ac:dyDescent="0.3">
      <c r="C775" s="37" t="s">
        <v>792</v>
      </c>
      <c r="D775" s="35" t="s">
        <v>750</v>
      </c>
    </row>
    <row r="776" spans="3:4" hidden="1" outlineLevel="1" x14ac:dyDescent="0.3">
      <c r="C776" s="37" t="s">
        <v>793</v>
      </c>
      <c r="D776" s="35" t="s">
        <v>751</v>
      </c>
    </row>
    <row r="777" spans="3:4" hidden="1" outlineLevel="1" x14ac:dyDescent="0.3">
      <c r="C777" s="37" t="s">
        <v>794</v>
      </c>
      <c r="D777" s="35" t="s">
        <v>752</v>
      </c>
    </row>
    <row r="778" spans="3:4" hidden="1" outlineLevel="1" x14ac:dyDescent="0.3">
      <c r="C778" s="37" t="s">
        <v>795</v>
      </c>
      <c r="D778" s="35" t="s">
        <v>753</v>
      </c>
    </row>
    <row r="779" spans="3:4" hidden="1" outlineLevel="1" x14ac:dyDescent="0.3">
      <c r="C779" s="37" t="s">
        <v>796</v>
      </c>
      <c r="D779" s="35" t="s">
        <v>754</v>
      </c>
    </row>
    <row r="780" spans="3:4" hidden="1" outlineLevel="1" x14ac:dyDescent="0.3">
      <c r="C780" s="37" t="s">
        <v>797</v>
      </c>
      <c r="D780" s="35" t="s">
        <v>755</v>
      </c>
    </row>
    <row r="781" spans="3:4" hidden="1" outlineLevel="1" x14ac:dyDescent="0.3">
      <c r="C781" s="37" t="s">
        <v>798</v>
      </c>
      <c r="D781" s="35" t="s">
        <v>756</v>
      </c>
    </row>
    <row r="782" spans="3:4" hidden="1" outlineLevel="1" x14ac:dyDescent="0.3">
      <c r="C782" s="37" t="s">
        <v>799</v>
      </c>
      <c r="D782" s="35" t="s">
        <v>757</v>
      </c>
    </row>
    <row r="783" spans="3:4" hidden="1" outlineLevel="1" x14ac:dyDescent="0.3">
      <c r="C783" s="37" t="s">
        <v>800</v>
      </c>
      <c r="D783" s="35" t="s">
        <v>758</v>
      </c>
    </row>
    <row r="784" spans="3:4" hidden="1" outlineLevel="1" x14ac:dyDescent="0.3">
      <c r="C784" s="37" t="s">
        <v>801</v>
      </c>
      <c r="D784" s="35" t="s">
        <v>759</v>
      </c>
    </row>
    <row r="785" spans="3:4" hidden="1" outlineLevel="1" x14ac:dyDescent="0.3">
      <c r="C785" s="37" t="s">
        <v>802</v>
      </c>
      <c r="D785" s="35" t="s">
        <v>760</v>
      </c>
    </row>
    <row r="786" spans="3:4" hidden="1" outlineLevel="1" x14ac:dyDescent="0.3">
      <c r="C786" s="37" t="s">
        <v>803</v>
      </c>
      <c r="D786" s="35" t="s">
        <v>761</v>
      </c>
    </row>
    <row r="787" spans="3:4" hidden="1" outlineLevel="1" x14ac:dyDescent="0.3">
      <c r="C787" s="37" t="s">
        <v>804</v>
      </c>
      <c r="D787" s="35" t="s">
        <v>762</v>
      </c>
    </row>
    <row r="788" spans="3:4" hidden="1" outlineLevel="1" x14ac:dyDescent="0.3">
      <c r="C788" s="37" t="s">
        <v>805</v>
      </c>
      <c r="D788" s="35" t="s">
        <v>763</v>
      </c>
    </row>
    <row r="789" spans="3:4" hidden="1" outlineLevel="1" x14ac:dyDescent="0.3">
      <c r="C789" s="37" t="s">
        <v>806</v>
      </c>
      <c r="D789" s="35" t="s">
        <v>764</v>
      </c>
    </row>
    <row r="790" spans="3:4" hidden="1" outlineLevel="1" x14ac:dyDescent="0.3">
      <c r="C790" s="37" t="s">
        <v>807</v>
      </c>
      <c r="D790" s="35" t="s">
        <v>765</v>
      </c>
    </row>
    <row r="791" spans="3:4" hidden="1" outlineLevel="1" x14ac:dyDescent="0.3">
      <c r="C791" s="37" t="s">
        <v>808</v>
      </c>
      <c r="D791" s="35" t="s">
        <v>766</v>
      </c>
    </row>
    <row r="792" spans="3:4" hidden="1" outlineLevel="1" x14ac:dyDescent="0.3">
      <c r="C792" s="37" t="s">
        <v>809</v>
      </c>
      <c r="D792" s="35" t="s">
        <v>767</v>
      </c>
    </row>
    <row r="793" spans="3:4" hidden="1" outlineLevel="1" x14ac:dyDescent="0.3">
      <c r="C793" s="37" t="s">
        <v>810</v>
      </c>
      <c r="D793" s="35" t="s">
        <v>768</v>
      </c>
    </row>
    <row r="794" spans="3:4" hidden="1" outlineLevel="1" x14ac:dyDescent="0.3">
      <c r="C794" s="37" t="s">
        <v>811</v>
      </c>
      <c r="D794" s="35" t="s">
        <v>769</v>
      </c>
    </row>
    <row r="795" spans="3:4" hidden="1" outlineLevel="1" x14ac:dyDescent="0.3">
      <c r="C795" s="37" t="s">
        <v>812</v>
      </c>
      <c r="D795" s="35" t="s">
        <v>770</v>
      </c>
    </row>
    <row r="796" spans="3:4" hidden="1" outlineLevel="1" x14ac:dyDescent="0.3">
      <c r="C796" s="37" t="s">
        <v>813</v>
      </c>
      <c r="D796" s="35" t="s">
        <v>771</v>
      </c>
    </row>
    <row r="797" spans="3:4" hidden="1" outlineLevel="1" x14ac:dyDescent="0.3">
      <c r="C797" s="37" t="s">
        <v>814</v>
      </c>
      <c r="D797" s="35" t="s">
        <v>772</v>
      </c>
    </row>
    <row r="798" spans="3:4" hidden="1" outlineLevel="1" x14ac:dyDescent="0.3">
      <c r="C798" s="37" t="s">
        <v>815</v>
      </c>
      <c r="D798" s="35" t="s">
        <v>773</v>
      </c>
    </row>
    <row r="799" spans="3:4" hidden="1" outlineLevel="1" x14ac:dyDescent="0.3">
      <c r="C799" s="37" t="s">
        <v>816</v>
      </c>
      <c r="D799" s="35" t="s">
        <v>774</v>
      </c>
    </row>
    <row r="800" spans="3:4" hidden="1" outlineLevel="1" x14ac:dyDescent="0.3">
      <c r="C800" s="37" t="s">
        <v>817</v>
      </c>
      <c r="D800" s="35" t="s">
        <v>775</v>
      </c>
    </row>
    <row r="801" spans="2:4" hidden="1" outlineLevel="1" x14ac:dyDescent="0.3">
      <c r="C801" s="37" t="s">
        <v>818</v>
      </c>
      <c r="D801" s="35" t="s">
        <v>776</v>
      </c>
    </row>
    <row r="802" spans="2:4" hidden="1" outlineLevel="1" x14ac:dyDescent="0.3">
      <c r="C802" s="37" t="s">
        <v>819</v>
      </c>
      <c r="D802" s="35" t="s">
        <v>777</v>
      </c>
    </row>
    <row r="803" spans="2:4" collapsed="1" x14ac:dyDescent="0.3">
      <c r="B803" s="43" t="s">
        <v>253</v>
      </c>
      <c r="C803" t="s">
        <v>18</v>
      </c>
    </row>
    <row r="804" spans="2:4" hidden="1" outlineLevel="1" x14ac:dyDescent="0.3">
      <c r="C804" s="40" t="s">
        <v>779</v>
      </c>
      <c r="D804" s="35" t="s">
        <v>745</v>
      </c>
    </row>
    <row r="805" spans="2:4" hidden="1" outlineLevel="1" x14ac:dyDescent="0.3">
      <c r="C805" s="41" t="s">
        <v>780</v>
      </c>
      <c r="D805" s="42" t="s">
        <v>820</v>
      </c>
    </row>
    <row r="806" spans="2:4" hidden="1" outlineLevel="1" x14ac:dyDescent="0.3">
      <c r="C806" s="40" t="s">
        <v>781</v>
      </c>
      <c r="D806" s="35" t="s">
        <v>746</v>
      </c>
    </row>
    <row r="807" spans="2:4" hidden="1" outlineLevel="1" x14ac:dyDescent="0.3">
      <c r="C807" s="41" t="s">
        <v>782</v>
      </c>
      <c r="D807" s="35" t="s">
        <v>367</v>
      </c>
    </row>
    <row r="808" spans="2:4" hidden="1" outlineLevel="1" x14ac:dyDescent="0.3">
      <c r="C808" s="41" t="s">
        <v>785</v>
      </c>
      <c r="D808" s="35" t="s">
        <v>68</v>
      </c>
    </row>
    <row r="809" spans="2:4" hidden="1" outlineLevel="1" x14ac:dyDescent="0.3">
      <c r="C809" s="41" t="s">
        <v>786</v>
      </c>
      <c r="D809" s="35" t="s">
        <v>747</v>
      </c>
    </row>
    <row r="810" spans="2:4" hidden="1" outlineLevel="1" x14ac:dyDescent="0.3">
      <c r="C810" s="41" t="s">
        <v>783</v>
      </c>
      <c r="D810" s="35" t="s">
        <v>11</v>
      </c>
    </row>
    <row r="811" spans="2:4" hidden="1" outlineLevel="1" x14ac:dyDescent="0.3">
      <c r="C811" s="41" t="s">
        <v>784</v>
      </c>
      <c r="D811" s="35" t="s">
        <v>125</v>
      </c>
    </row>
    <row r="812" spans="2:4" hidden="1" outlineLevel="1" x14ac:dyDescent="0.3">
      <c r="C812" s="41" t="s">
        <v>787</v>
      </c>
      <c r="D812" s="35" t="s">
        <v>748</v>
      </c>
    </row>
    <row r="813" spans="2:4" hidden="1" outlineLevel="1" x14ac:dyDescent="0.3">
      <c r="C813" s="37" t="s">
        <v>788</v>
      </c>
      <c r="D813" s="35" t="s">
        <v>517</v>
      </c>
    </row>
    <row r="814" spans="2:4" hidden="1" outlineLevel="1" x14ac:dyDescent="0.3">
      <c r="C814" s="37" t="s">
        <v>789</v>
      </c>
      <c r="D814" s="35" t="s">
        <v>386</v>
      </c>
    </row>
    <row r="815" spans="2:4" hidden="1" outlineLevel="1" x14ac:dyDescent="0.3">
      <c r="C815" s="37" t="s">
        <v>790</v>
      </c>
      <c r="D815" s="35" t="s">
        <v>299</v>
      </c>
    </row>
    <row r="816" spans="2:4" hidden="1" outlineLevel="1" x14ac:dyDescent="0.3">
      <c r="C816" s="37" t="s">
        <v>791</v>
      </c>
      <c r="D816" s="35" t="s">
        <v>749</v>
      </c>
    </row>
    <row r="817" spans="3:4" hidden="1" outlineLevel="1" x14ac:dyDescent="0.3">
      <c r="C817" s="37" t="s">
        <v>792</v>
      </c>
      <c r="D817" s="35" t="s">
        <v>750</v>
      </c>
    </row>
    <row r="818" spans="3:4" hidden="1" outlineLevel="1" x14ac:dyDescent="0.3">
      <c r="C818" s="37" t="s">
        <v>793</v>
      </c>
      <c r="D818" s="35" t="s">
        <v>751</v>
      </c>
    </row>
    <row r="819" spans="3:4" hidden="1" outlineLevel="1" x14ac:dyDescent="0.3">
      <c r="C819" s="37" t="s">
        <v>794</v>
      </c>
      <c r="D819" s="35" t="s">
        <v>752</v>
      </c>
    </row>
    <row r="820" spans="3:4" hidden="1" outlineLevel="1" x14ac:dyDescent="0.3">
      <c r="C820" s="37" t="s">
        <v>795</v>
      </c>
      <c r="D820" s="35" t="s">
        <v>753</v>
      </c>
    </row>
    <row r="821" spans="3:4" hidden="1" outlineLevel="1" x14ac:dyDescent="0.3">
      <c r="C821" s="37" t="s">
        <v>796</v>
      </c>
      <c r="D821" s="35" t="s">
        <v>754</v>
      </c>
    </row>
    <row r="822" spans="3:4" hidden="1" outlineLevel="1" x14ac:dyDescent="0.3">
      <c r="C822" s="37" t="s">
        <v>797</v>
      </c>
      <c r="D822" s="35" t="s">
        <v>755</v>
      </c>
    </row>
    <row r="823" spans="3:4" hidden="1" outlineLevel="1" x14ac:dyDescent="0.3">
      <c r="C823" s="37" t="s">
        <v>798</v>
      </c>
      <c r="D823" s="35" t="s">
        <v>756</v>
      </c>
    </row>
    <row r="824" spans="3:4" hidden="1" outlineLevel="1" x14ac:dyDescent="0.3">
      <c r="C824" s="37" t="s">
        <v>799</v>
      </c>
      <c r="D824" s="35" t="s">
        <v>757</v>
      </c>
    </row>
    <row r="825" spans="3:4" hidden="1" outlineLevel="1" x14ac:dyDescent="0.3">
      <c r="C825" s="37" t="s">
        <v>800</v>
      </c>
      <c r="D825" s="35" t="s">
        <v>758</v>
      </c>
    </row>
    <row r="826" spans="3:4" hidden="1" outlineLevel="1" x14ac:dyDescent="0.3">
      <c r="C826" s="37" t="s">
        <v>801</v>
      </c>
      <c r="D826" s="35" t="s">
        <v>759</v>
      </c>
    </row>
    <row r="827" spans="3:4" hidden="1" outlineLevel="1" x14ac:dyDescent="0.3">
      <c r="C827" s="37" t="s">
        <v>802</v>
      </c>
      <c r="D827" s="35" t="s">
        <v>760</v>
      </c>
    </row>
    <row r="828" spans="3:4" hidden="1" outlineLevel="1" x14ac:dyDescent="0.3">
      <c r="C828" s="37" t="s">
        <v>803</v>
      </c>
      <c r="D828" s="35" t="s">
        <v>761</v>
      </c>
    </row>
    <row r="829" spans="3:4" hidden="1" outlineLevel="1" x14ac:dyDescent="0.3">
      <c r="C829" s="37" t="s">
        <v>804</v>
      </c>
      <c r="D829" s="35" t="s">
        <v>762</v>
      </c>
    </row>
    <row r="830" spans="3:4" hidden="1" outlineLevel="1" x14ac:dyDescent="0.3">
      <c r="C830" s="37" t="s">
        <v>805</v>
      </c>
      <c r="D830" s="35" t="s">
        <v>763</v>
      </c>
    </row>
    <row r="831" spans="3:4" hidden="1" outlineLevel="1" x14ac:dyDescent="0.3">
      <c r="C831" s="37" t="s">
        <v>806</v>
      </c>
      <c r="D831" s="35" t="s">
        <v>764</v>
      </c>
    </row>
    <row r="832" spans="3:4" hidden="1" outlineLevel="1" x14ac:dyDescent="0.3">
      <c r="C832" s="37" t="s">
        <v>807</v>
      </c>
      <c r="D832" s="35" t="s">
        <v>765</v>
      </c>
    </row>
    <row r="833" spans="2:4" hidden="1" outlineLevel="1" x14ac:dyDescent="0.3">
      <c r="C833" s="37" t="s">
        <v>808</v>
      </c>
      <c r="D833" s="35" t="s">
        <v>766</v>
      </c>
    </row>
    <row r="834" spans="2:4" hidden="1" outlineLevel="1" x14ac:dyDescent="0.3">
      <c r="C834" s="37" t="s">
        <v>809</v>
      </c>
      <c r="D834" s="35" t="s">
        <v>767</v>
      </c>
    </row>
    <row r="835" spans="2:4" hidden="1" outlineLevel="1" x14ac:dyDescent="0.3">
      <c r="C835" s="37" t="s">
        <v>810</v>
      </c>
      <c r="D835" s="35" t="s">
        <v>768</v>
      </c>
    </row>
    <row r="836" spans="2:4" hidden="1" outlineLevel="1" x14ac:dyDescent="0.3">
      <c r="C836" s="37" t="s">
        <v>811</v>
      </c>
      <c r="D836" s="35" t="s">
        <v>769</v>
      </c>
    </row>
    <row r="837" spans="2:4" hidden="1" outlineLevel="1" x14ac:dyDescent="0.3">
      <c r="C837" s="37" t="s">
        <v>812</v>
      </c>
      <c r="D837" s="35" t="s">
        <v>770</v>
      </c>
    </row>
    <row r="838" spans="2:4" hidden="1" outlineLevel="1" x14ac:dyDescent="0.3">
      <c r="C838" s="37" t="s">
        <v>813</v>
      </c>
      <c r="D838" s="35" t="s">
        <v>771</v>
      </c>
    </row>
    <row r="839" spans="2:4" hidden="1" outlineLevel="1" x14ac:dyDescent="0.3">
      <c r="C839" s="37" t="s">
        <v>814</v>
      </c>
      <c r="D839" s="35" t="s">
        <v>772</v>
      </c>
    </row>
    <row r="840" spans="2:4" hidden="1" outlineLevel="1" x14ac:dyDescent="0.3">
      <c r="C840" s="37" t="s">
        <v>815</v>
      </c>
      <c r="D840" s="35" t="s">
        <v>773</v>
      </c>
    </row>
    <row r="841" spans="2:4" hidden="1" outlineLevel="1" x14ac:dyDescent="0.3">
      <c r="C841" s="37" t="s">
        <v>816</v>
      </c>
      <c r="D841" s="35" t="s">
        <v>774</v>
      </c>
    </row>
    <row r="842" spans="2:4" hidden="1" outlineLevel="1" x14ac:dyDescent="0.3">
      <c r="C842" s="37" t="s">
        <v>817</v>
      </c>
      <c r="D842" s="35" t="s">
        <v>775</v>
      </c>
    </row>
    <row r="843" spans="2:4" hidden="1" outlineLevel="1" x14ac:dyDescent="0.3">
      <c r="C843" s="37" t="s">
        <v>818</v>
      </c>
      <c r="D843" s="35" t="s">
        <v>776</v>
      </c>
    </row>
    <row r="844" spans="2:4" hidden="1" outlineLevel="1" x14ac:dyDescent="0.3">
      <c r="C844" s="37" t="s">
        <v>819</v>
      </c>
      <c r="D844" s="35" t="s">
        <v>777</v>
      </c>
    </row>
    <row r="845" spans="2:4" collapsed="1" x14ac:dyDescent="0.3">
      <c r="B845" s="43" t="s">
        <v>385</v>
      </c>
      <c r="C845" t="s">
        <v>386</v>
      </c>
    </row>
    <row r="846" spans="2:4" hidden="1" outlineLevel="1" x14ac:dyDescent="0.3">
      <c r="C846" s="40" t="s">
        <v>779</v>
      </c>
      <c r="D846" s="35" t="s">
        <v>745</v>
      </c>
    </row>
    <row r="847" spans="2:4" hidden="1" outlineLevel="1" x14ac:dyDescent="0.3">
      <c r="C847" s="41" t="s">
        <v>780</v>
      </c>
      <c r="D847" s="42" t="s">
        <v>820</v>
      </c>
    </row>
    <row r="848" spans="2:4" hidden="1" outlineLevel="1" x14ac:dyDescent="0.3">
      <c r="C848" s="40" t="s">
        <v>781</v>
      </c>
      <c r="D848" s="35" t="s">
        <v>746</v>
      </c>
    </row>
    <row r="849" spans="3:4" hidden="1" outlineLevel="1" x14ac:dyDescent="0.3">
      <c r="C849" s="41" t="s">
        <v>782</v>
      </c>
      <c r="D849" s="35" t="s">
        <v>367</v>
      </c>
    </row>
    <row r="850" spans="3:4" hidden="1" outlineLevel="1" x14ac:dyDescent="0.3">
      <c r="C850" s="41" t="s">
        <v>785</v>
      </c>
      <c r="D850" s="35" t="s">
        <v>68</v>
      </c>
    </row>
    <row r="851" spans="3:4" hidden="1" outlineLevel="1" x14ac:dyDescent="0.3">
      <c r="C851" s="41" t="s">
        <v>786</v>
      </c>
      <c r="D851" s="35" t="s">
        <v>747</v>
      </c>
    </row>
    <row r="852" spans="3:4" hidden="1" outlineLevel="1" x14ac:dyDescent="0.3">
      <c r="C852" s="41" t="s">
        <v>783</v>
      </c>
      <c r="D852" s="35" t="s">
        <v>11</v>
      </c>
    </row>
    <row r="853" spans="3:4" hidden="1" outlineLevel="1" x14ac:dyDescent="0.3">
      <c r="C853" s="41" t="s">
        <v>784</v>
      </c>
      <c r="D853" s="35" t="s">
        <v>125</v>
      </c>
    </row>
    <row r="854" spans="3:4" hidden="1" outlineLevel="1" x14ac:dyDescent="0.3">
      <c r="C854" s="41" t="s">
        <v>787</v>
      </c>
      <c r="D854" s="35" t="s">
        <v>748</v>
      </c>
    </row>
    <row r="855" spans="3:4" hidden="1" outlineLevel="1" x14ac:dyDescent="0.3">
      <c r="C855" s="37" t="s">
        <v>788</v>
      </c>
      <c r="D855" s="35" t="s">
        <v>517</v>
      </c>
    </row>
    <row r="856" spans="3:4" hidden="1" outlineLevel="1" x14ac:dyDescent="0.3">
      <c r="C856" s="37" t="s">
        <v>789</v>
      </c>
      <c r="D856" s="35" t="s">
        <v>386</v>
      </c>
    </row>
    <row r="857" spans="3:4" hidden="1" outlineLevel="1" x14ac:dyDescent="0.3">
      <c r="C857" s="37" t="s">
        <v>790</v>
      </c>
      <c r="D857" s="35" t="s">
        <v>299</v>
      </c>
    </row>
    <row r="858" spans="3:4" hidden="1" outlineLevel="1" x14ac:dyDescent="0.3">
      <c r="C858" s="37" t="s">
        <v>791</v>
      </c>
      <c r="D858" s="35" t="s">
        <v>749</v>
      </c>
    </row>
    <row r="859" spans="3:4" hidden="1" outlineLevel="1" x14ac:dyDescent="0.3">
      <c r="C859" s="37" t="s">
        <v>792</v>
      </c>
      <c r="D859" s="35" t="s">
        <v>750</v>
      </c>
    </row>
    <row r="860" spans="3:4" hidden="1" outlineLevel="1" x14ac:dyDescent="0.3">
      <c r="C860" s="37" t="s">
        <v>793</v>
      </c>
      <c r="D860" s="35" t="s">
        <v>751</v>
      </c>
    </row>
    <row r="861" spans="3:4" hidden="1" outlineLevel="1" x14ac:dyDescent="0.3">
      <c r="C861" s="37" t="s">
        <v>794</v>
      </c>
      <c r="D861" s="35" t="s">
        <v>752</v>
      </c>
    </row>
    <row r="862" spans="3:4" hidden="1" outlineLevel="1" x14ac:dyDescent="0.3">
      <c r="C862" s="37" t="s">
        <v>795</v>
      </c>
      <c r="D862" s="35" t="s">
        <v>753</v>
      </c>
    </row>
    <row r="863" spans="3:4" hidden="1" outlineLevel="1" x14ac:dyDescent="0.3">
      <c r="C863" s="37" t="s">
        <v>796</v>
      </c>
      <c r="D863" s="35" t="s">
        <v>754</v>
      </c>
    </row>
    <row r="864" spans="3:4" hidden="1" outlineLevel="1" x14ac:dyDescent="0.3">
      <c r="C864" s="37" t="s">
        <v>797</v>
      </c>
      <c r="D864" s="35" t="s">
        <v>755</v>
      </c>
    </row>
    <row r="865" spans="3:4" hidden="1" outlineLevel="1" x14ac:dyDescent="0.3">
      <c r="C865" s="37" t="s">
        <v>798</v>
      </c>
      <c r="D865" s="35" t="s">
        <v>756</v>
      </c>
    </row>
    <row r="866" spans="3:4" hidden="1" outlineLevel="1" x14ac:dyDescent="0.3">
      <c r="C866" s="37" t="s">
        <v>799</v>
      </c>
      <c r="D866" s="35" t="s">
        <v>757</v>
      </c>
    </row>
    <row r="867" spans="3:4" hidden="1" outlineLevel="1" x14ac:dyDescent="0.3">
      <c r="C867" s="37" t="s">
        <v>800</v>
      </c>
      <c r="D867" s="35" t="s">
        <v>758</v>
      </c>
    </row>
    <row r="868" spans="3:4" hidden="1" outlineLevel="1" x14ac:dyDescent="0.3">
      <c r="C868" s="37" t="s">
        <v>801</v>
      </c>
      <c r="D868" s="35" t="s">
        <v>759</v>
      </c>
    </row>
    <row r="869" spans="3:4" hidden="1" outlineLevel="1" x14ac:dyDescent="0.3">
      <c r="C869" s="37" t="s">
        <v>802</v>
      </c>
      <c r="D869" s="35" t="s">
        <v>760</v>
      </c>
    </row>
    <row r="870" spans="3:4" hidden="1" outlineLevel="1" x14ac:dyDescent="0.3">
      <c r="C870" s="37" t="s">
        <v>803</v>
      </c>
      <c r="D870" s="35" t="s">
        <v>761</v>
      </c>
    </row>
    <row r="871" spans="3:4" hidden="1" outlineLevel="1" x14ac:dyDescent="0.3">
      <c r="C871" s="37" t="s">
        <v>804</v>
      </c>
      <c r="D871" s="35" t="s">
        <v>762</v>
      </c>
    </row>
    <row r="872" spans="3:4" hidden="1" outlineLevel="1" x14ac:dyDescent="0.3">
      <c r="C872" s="37" t="s">
        <v>805</v>
      </c>
      <c r="D872" s="35" t="s">
        <v>763</v>
      </c>
    </row>
    <row r="873" spans="3:4" hidden="1" outlineLevel="1" x14ac:dyDescent="0.3">
      <c r="C873" s="37" t="s">
        <v>806</v>
      </c>
      <c r="D873" s="35" t="s">
        <v>764</v>
      </c>
    </row>
    <row r="874" spans="3:4" hidden="1" outlineLevel="1" x14ac:dyDescent="0.3">
      <c r="C874" s="37" t="s">
        <v>807</v>
      </c>
      <c r="D874" s="35" t="s">
        <v>765</v>
      </c>
    </row>
    <row r="875" spans="3:4" hidden="1" outlineLevel="1" x14ac:dyDescent="0.3">
      <c r="C875" s="37" t="s">
        <v>808</v>
      </c>
      <c r="D875" s="35" t="s">
        <v>766</v>
      </c>
    </row>
    <row r="876" spans="3:4" hidden="1" outlineLevel="1" x14ac:dyDescent="0.3">
      <c r="C876" s="37" t="s">
        <v>809</v>
      </c>
      <c r="D876" s="35" t="s">
        <v>767</v>
      </c>
    </row>
    <row r="877" spans="3:4" hidden="1" outlineLevel="1" x14ac:dyDescent="0.3">
      <c r="C877" s="37" t="s">
        <v>810</v>
      </c>
      <c r="D877" s="35" t="s">
        <v>768</v>
      </c>
    </row>
    <row r="878" spans="3:4" hidden="1" outlineLevel="1" x14ac:dyDescent="0.3">
      <c r="C878" s="37" t="s">
        <v>811</v>
      </c>
      <c r="D878" s="35" t="s">
        <v>769</v>
      </c>
    </row>
    <row r="879" spans="3:4" hidden="1" outlineLevel="1" x14ac:dyDescent="0.3">
      <c r="C879" s="37" t="s">
        <v>812</v>
      </c>
      <c r="D879" s="35" t="s">
        <v>770</v>
      </c>
    </row>
    <row r="880" spans="3:4" hidden="1" outlineLevel="1" x14ac:dyDescent="0.3">
      <c r="C880" s="37" t="s">
        <v>813</v>
      </c>
      <c r="D880" s="35" t="s">
        <v>771</v>
      </c>
    </row>
    <row r="881" spans="2:4" hidden="1" outlineLevel="1" x14ac:dyDescent="0.3">
      <c r="C881" s="37" t="s">
        <v>814</v>
      </c>
      <c r="D881" s="35" t="s">
        <v>772</v>
      </c>
    </row>
    <row r="882" spans="2:4" hidden="1" outlineLevel="1" x14ac:dyDescent="0.3">
      <c r="C882" s="37" t="s">
        <v>815</v>
      </c>
      <c r="D882" s="35" t="s">
        <v>773</v>
      </c>
    </row>
    <row r="883" spans="2:4" hidden="1" outlineLevel="1" x14ac:dyDescent="0.3">
      <c r="C883" s="37" t="s">
        <v>816</v>
      </c>
      <c r="D883" s="35" t="s">
        <v>774</v>
      </c>
    </row>
    <row r="884" spans="2:4" hidden="1" outlineLevel="1" x14ac:dyDescent="0.3">
      <c r="C884" s="37" t="s">
        <v>817</v>
      </c>
      <c r="D884" s="35" t="s">
        <v>775</v>
      </c>
    </row>
    <row r="885" spans="2:4" hidden="1" outlineLevel="1" x14ac:dyDescent="0.3">
      <c r="C885" s="37" t="s">
        <v>818</v>
      </c>
      <c r="D885" s="35" t="s">
        <v>776</v>
      </c>
    </row>
    <row r="886" spans="2:4" hidden="1" outlineLevel="1" x14ac:dyDescent="0.3">
      <c r="C886" s="37" t="s">
        <v>819</v>
      </c>
      <c r="D886" s="35" t="s">
        <v>777</v>
      </c>
    </row>
    <row r="887" spans="2:4" collapsed="1" x14ac:dyDescent="0.3">
      <c r="B887" s="43" t="s">
        <v>344</v>
      </c>
      <c r="C887" t="s">
        <v>302</v>
      </c>
    </row>
    <row r="888" spans="2:4" hidden="1" outlineLevel="1" x14ac:dyDescent="0.3">
      <c r="C888" s="40" t="s">
        <v>779</v>
      </c>
      <c r="D888" s="35" t="s">
        <v>745</v>
      </c>
    </row>
    <row r="889" spans="2:4" hidden="1" outlineLevel="1" x14ac:dyDescent="0.3">
      <c r="C889" s="41" t="s">
        <v>780</v>
      </c>
      <c r="D889" s="42" t="s">
        <v>820</v>
      </c>
    </row>
    <row r="890" spans="2:4" hidden="1" outlineLevel="1" x14ac:dyDescent="0.3">
      <c r="C890" s="40" t="s">
        <v>781</v>
      </c>
      <c r="D890" s="35" t="s">
        <v>746</v>
      </c>
    </row>
    <row r="891" spans="2:4" hidden="1" outlineLevel="1" x14ac:dyDescent="0.3">
      <c r="C891" s="41" t="s">
        <v>782</v>
      </c>
      <c r="D891" s="35" t="s">
        <v>367</v>
      </c>
    </row>
    <row r="892" spans="2:4" hidden="1" outlineLevel="1" x14ac:dyDescent="0.3">
      <c r="C892" s="41" t="s">
        <v>785</v>
      </c>
      <c r="D892" s="35" t="s">
        <v>68</v>
      </c>
    </row>
    <row r="893" spans="2:4" hidden="1" outlineLevel="1" x14ac:dyDescent="0.3">
      <c r="C893" s="41" t="s">
        <v>786</v>
      </c>
      <c r="D893" s="35" t="s">
        <v>747</v>
      </c>
    </row>
    <row r="894" spans="2:4" hidden="1" outlineLevel="1" x14ac:dyDescent="0.3">
      <c r="C894" s="41" t="s">
        <v>783</v>
      </c>
      <c r="D894" s="35" t="s">
        <v>11</v>
      </c>
    </row>
    <row r="895" spans="2:4" hidden="1" outlineLevel="1" x14ac:dyDescent="0.3">
      <c r="C895" s="41" t="s">
        <v>784</v>
      </c>
      <c r="D895" s="35" t="s">
        <v>125</v>
      </c>
    </row>
    <row r="896" spans="2:4" hidden="1" outlineLevel="1" x14ac:dyDescent="0.3">
      <c r="C896" s="41" t="s">
        <v>787</v>
      </c>
      <c r="D896" s="35" t="s">
        <v>748</v>
      </c>
    </row>
    <row r="897" spans="3:4" hidden="1" outlineLevel="1" x14ac:dyDescent="0.3">
      <c r="C897" s="37" t="s">
        <v>788</v>
      </c>
      <c r="D897" s="35" t="s">
        <v>517</v>
      </c>
    </row>
    <row r="898" spans="3:4" hidden="1" outlineLevel="1" x14ac:dyDescent="0.3">
      <c r="C898" s="37" t="s">
        <v>789</v>
      </c>
      <c r="D898" s="35" t="s">
        <v>386</v>
      </c>
    </row>
    <row r="899" spans="3:4" hidden="1" outlineLevel="1" x14ac:dyDescent="0.3">
      <c r="C899" s="37" t="s">
        <v>790</v>
      </c>
      <c r="D899" s="35" t="s">
        <v>299</v>
      </c>
    </row>
    <row r="900" spans="3:4" hidden="1" outlineLevel="1" x14ac:dyDescent="0.3">
      <c r="C900" s="37" t="s">
        <v>791</v>
      </c>
      <c r="D900" s="35" t="s">
        <v>749</v>
      </c>
    </row>
    <row r="901" spans="3:4" hidden="1" outlineLevel="1" x14ac:dyDescent="0.3">
      <c r="C901" s="37" t="s">
        <v>792</v>
      </c>
      <c r="D901" s="35" t="s">
        <v>750</v>
      </c>
    </row>
    <row r="902" spans="3:4" hidden="1" outlineLevel="1" x14ac:dyDescent="0.3">
      <c r="C902" s="37" t="s">
        <v>793</v>
      </c>
      <c r="D902" s="35" t="s">
        <v>751</v>
      </c>
    </row>
    <row r="903" spans="3:4" hidden="1" outlineLevel="1" x14ac:dyDescent="0.3">
      <c r="C903" s="37" t="s">
        <v>794</v>
      </c>
      <c r="D903" s="35" t="s">
        <v>752</v>
      </c>
    </row>
    <row r="904" spans="3:4" hidden="1" outlineLevel="1" x14ac:dyDescent="0.3">
      <c r="C904" s="37" t="s">
        <v>795</v>
      </c>
      <c r="D904" s="35" t="s">
        <v>753</v>
      </c>
    </row>
    <row r="905" spans="3:4" hidden="1" outlineLevel="1" x14ac:dyDescent="0.3">
      <c r="C905" s="37" t="s">
        <v>796</v>
      </c>
      <c r="D905" s="35" t="s">
        <v>754</v>
      </c>
    </row>
    <row r="906" spans="3:4" hidden="1" outlineLevel="1" x14ac:dyDescent="0.3">
      <c r="C906" s="37" t="s">
        <v>797</v>
      </c>
      <c r="D906" s="35" t="s">
        <v>755</v>
      </c>
    </row>
    <row r="907" spans="3:4" hidden="1" outlineLevel="1" x14ac:dyDescent="0.3">
      <c r="C907" s="37" t="s">
        <v>798</v>
      </c>
      <c r="D907" s="35" t="s">
        <v>756</v>
      </c>
    </row>
    <row r="908" spans="3:4" hidden="1" outlineLevel="1" x14ac:dyDescent="0.3">
      <c r="C908" s="37" t="s">
        <v>799</v>
      </c>
      <c r="D908" s="35" t="s">
        <v>757</v>
      </c>
    </row>
    <row r="909" spans="3:4" hidden="1" outlineLevel="1" x14ac:dyDescent="0.3">
      <c r="C909" s="37" t="s">
        <v>800</v>
      </c>
      <c r="D909" s="35" t="s">
        <v>758</v>
      </c>
    </row>
    <row r="910" spans="3:4" hidden="1" outlineLevel="1" x14ac:dyDescent="0.3">
      <c r="C910" s="37" t="s">
        <v>801</v>
      </c>
      <c r="D910" s="35" t="s">
        <v>759</v>
      </c>
    </row>
    <row r="911" spans="3:4" hidden="1" outlineLevel="1" x14ac:dyDescent="0.3">
      <c r="C911" s="37" t="s">
        <v>802</v>
      </c>
      <c r="D911" s="35" t="s">
        <v>760</v>
      </c>
    </row>
    <row r="912" spans="3:4" hidden="1" outlineLevel="1" x14ac:dyDescent="0.3">
      <c r="C912" s="37" t="s">
        <v>803</v>
      </c>
      <c r="D912" s="35" t="s">
        <v>761</v>
      </c>
    </row>
    <row r="913" spans="3:4" hidden="1" outlineLevel="1" x14ac:dyDescent="0.3">
      <c r="C913" s="37" t="s">
        <v>804</v>
      </c>
      <c r="D913" s="35" t="s">
        <v>762</v>
      </c>
    </row>
    <row r="914" spans="3:4" hidden="1" outlineLevel="1" x14ac:dyDescent="0.3">
      <c r="C914" s="37" t="s">
        <v>805</v>
      </c>
      <c r="D914" s="35" t="s">
        <v>763</v>
      </c>
    </row>
    <row r="915" spans="3:4" hidden="1" outlineLevel="1" x14ac:dyDescent="0.3">
      <c r="C915" s="37" t="s">
        <v>806</v>
      </c>
      <c r="D915" s="35" t="s">
        <v>764</v>
      </c>
    </row>
    <row r="916" spans="3:4" hidden="1" outlineLevel="1" x14ac:dyDescent="0.3">
      <c r="C916" s="37" t="s">
        <v>807</v>
      </c>
      <c r="D916" s="35" t="s">
        <v>765</v>
      </c>
    </row>
    <row r="917" spans="3:4" hidden="1" outlineLevel="1" x14ac:dyDescent="0.3">
      <c r="C917" s="37" t="s">
        <v>808</v>
      </c>
      <c r="D917" s="35" t="s">
        <v>766</v>
      </c>
    </row>
    <row r="918" spans="3:4" hidden="1" outlineLevel="1" x14ac:dyDescent="0.3">
      <c r="C918" s="37" t="s">
        <v>809</v>
      </c>
      <c r="D918" s="35" t="s">
        <v>767</v>
      </c>
    </row>
    <row r="919" spans="3:4" hidden="1" outlineLevel="1" x14ac:dyDescent="0.3">
      <c r="C919" s="37" t="s">
        <v>810</v>
      </c>
      <c r="D919" s="35" t="s">
        <v>768</v>
      </c>
    </row>
    <row r="920" spans="3:4" hidden="1" outlineLevel="1" x14ac:dyDescent="0.3">
      <c r="C920" s="37" t="s">
        <v>811</v>
      </c>
      <c r="D920" s="35" t="s">
        <v>769</v>
      </c>
    </row>
    <row r="921" spans="3:4" hidden="1" outlineLevel="1" x14ac:dyDescent="0.3">
      <c r="C921" s="37" t="s">
        <v>812</v>
      </c>
      <c r="D921" s="35" t="s">
        <v>770</v>
      </c>
    </row>
    <row r="922" spans="3:4" hidden="1" outlineLevel="1" x14ac:dyDescent="0.3">
      <c r="C922" s="37" t="s">
        <v>813</v>
      </c>
      <c r="D922" s="35" t="s">
        <v>771</v>
      </c>
    </row>
    <row r="923" spans="3:4" hidden="1" outlineLevel="1" x14ac:dyDescent="0.3">
      <c r="C923" s="37" t="s">
        <v>814</v>
      </c>
      <c r="D923" s="35" t="s">
        <v>772</v>
      </c>
    </row>
    <row r="924" spans="3:4" hidden="1" outlineLevel="1" x14ac:dyDescent="0.3">
      <c r="C924" s="37" t="s">
        <v>815</v>
      </c>
      <c r="D924" s="35" t="s">
        <v>773</v>
      </c>
    </row>
    <row r="925" spans="3:4" hidden="1" outlineLevel="1" x14ac:dyDescent="0.3">
      <c r="C925" s="37" t="s">
        <v>816</v>
      </c>
      <c r="D925" s="35" t="s">
        <v>774</v>
      </c>
    </row>
    <row r="926" spans="3:4" hidden="1" outlineLevel="1" x14ac:dyDescent="0.3">
      <c r="C926" s="37" t="s">
        <v>817</v>
      </c>
      <c r="D926" s="35" t="s">
        <v>775</v>
      </c>
    </row>
    <row r="927" spans="3:4" hidden="1" outlineLevel="1" x14ac:dyDescent="0.3">
      <c r="C927" s="37" t="s">
        <v>818</v>
      </c>
      <c r="D927" s="35" t="s">
        <v>776</v>
      </c>
    </row>
    <row r="928" spans="3:4" hidden="1" outlineLevel="1" x14ac:dyDescent="0.3">
      <c r="C928" s="37" t="s">
        <v>819</v>
      </c>
      <c r="D928" s="35" t="s">
        <v>777</v>
      </c>
    </row>
    <row r="929" spans="2:4" collapsed="1" x14ac:dyDescent="0.3">
      <c r="B929" s="43" t="s">
        <v>341</v>
      </c>
      <c r="C929" t="s">
        <v>302</v>
      </c>
    </row>
    <row r="930" spans="2:4" hidden="1" outlineLevel="1" x14ac:dyDescent="0.3">
      <c r="C930" s="40" t="s">
        <v>779</v>
      </c>
      <c r="D930" s="35" t="s">
        <v>745</v>
      </c>
    </row>
    <row r="931" spans="2:4" hidden="1" outlineLevel="1" x14ac:dyDescent="0.3">
      <c r="C931" s="41" t="s">
        <v>780</v>
      </c>
      <c r="D931" s="42" t="s">
        <v>820</v>
      </c>
    </row>
    <row r="932" spans="2:4" hidden="1" outlineLevel="1" x14ac:dyDescent="0.3">
      <c r="C932" s="40" t="s">
        <v>781</v>
      </c>
      <c r="D932" s="35" t="s">
        <v>746</v>
      </c>
    </row>
    <row r="933" spans="2:4" hidden="1" outlineLevel="1" x14ac:dyDescent="0.3">
      <c r="C933" s="41" t="s">
        <v>782</v>
      </c>
      <c r="D933" s="35" t="s">
        <v>367</v>
      </c>
    </row>
    <row r="934" spans="2:4" hidden="1" outlineLevel="1" x14ac:dyDescent="0.3">
      <c r="C934" s="41" t="s">
        <v>785</v>
      </c>
      <c r="D934" s="35" t="s">
        <v>68</v>
      </c>
    </row>
    <row r="935" spans="2:4" hidden="1" outlineLevel="1" x14ac:dyDescent="0.3">
      <c r="C935" s="41" t="s">
        <v>786</v>
      </c>
      <c r="D935" s="35" t="s">
        <v>747</v>
      </c>
    </row>
    <row r="936" spans="2:4" hidden="1" outlineLevel="1" x14ac:dyDescent="0.3">
      <c r="C936" s="41" t="s">
        <v>783</v>
      </c>
      <c r="D936" s="35" t="s">
        <v>11</v>
      </c>
    </row>
    <row r="937" spans="2:4" hidden="1" outlineLevel="1" x14ac:dyDescent="0.3">
      <c r="C937" s="41" t="s">
        <v>784</v>
      </c>
      <c r="D937" s="35" t="s">
        <v>125</v>
      </c>
    </row>
    <row r="938" spans="2:4" hidden="1" outlineLevel="1" x14ac:dyDescent="0.3">
      <c r="C938" s="41" t="s">
        <v>787</v>
      </c>
      <c r="D938" s="35" t="s">
        <v>748</v>
      </c>
    </row>
    <row r="939" spans="2:4" hidden="1" outlineLevel="1" x14ac:dyDescent="0.3">
      <c r="C939" s="37" t="s">
        <v>788</v>
      </c>
      <c r="D939" s="35" t="s">
        <v>517</v>
      </c>
    </row>
    <row r="940" spans="2:4" hidden="1" outlineLevel="1" x14ac:dyDescent="0.3">
      <c r="C940" s="37" t="s">
        <v>789</v>
      </c>
      <c r="D940" s="35" t="s">
        <v>386</v>
      </c>
    </row>
    <row r="941" spans="2:4" hidden="1" outlineLevel="1" x14ac:dyDescent="0.3">
      <c r="C941" s="37" t="s">
        <v>790</v>
      </c>
      <c r="D941" s="35" t="s">
        <v>299</v>
      </c>
    </row>
    <row r="942" spans="2:4" hidden="1" outlineLevel="1" x14ac:dyDescent="0.3">
      <c r="C942" s="37" t="s">
        <v>791</v>
      </c>
      <c r="D942" s="35" t="s">
        <v>749</v>
      </c>
    </row>
    <row r="943" spans="2:4" hidden="1" outlineLevel="1" x14ac:dyDescent="0.3">
      <c r="C943" s="37" t="s">
        <v>792</v>
      </c>
      <c r="D943" s="35" t="s">
        <v>750</v>
      </c>
    </row>
    <row r="944" spans="2:4" hidden="1" outlineLevel="1" x14ac:dyDescent="0.3">
      <c r="C944" s="37" t="s">
        <v>793</v>
      </c>
      <c r="D944" s="35" t="s">
        <v>751</v>
      </c>
    </row>
    <row r="945" spans="3:4" hidden="1" outlineLevel="1" x14ac:dyDescent="0.3">
      <c r="C945" s="37" t="s">
        <v>794</v>
      </c>
      <c r="D945" s="35" t="s">
        <v>752</v>
      </c>
    </row>
    <row r="946" spans="3:4" hidden="1" outlineLevel="1" x14ac:dyDescent="0.3">
      <c r="C946" s="37" t="s">
        <v>795</v>
      </c>
      <c r="D946" s="35" t="s">
        <v>753</v>
      </c>
    </row>
    <row r="947" spans="3:4" hidden="1" outlineLevel="1" x14ac:dyDescent="0.3">
      <c r="C947" s="37" t="s">
        <v>796</v>
      </c>
      <c r="D947" s="35" t="s">
        <v>754</v>
      </c>
    </row>
    <row r="948" spans="3:4" hidden="1" outlineLevel="1" x14ac:dyDescent="0.3">
      <c r="C948" s="37" t="s">
        <v>797</v>
      </c>
      <c r="D948" s="35" t="s">
        <v>755</v>
      </c>
    </row>
    <row r="949" spans="3:4" hidden="1" outlineLevel="1" x14ac:dyDescent="0.3">
      <c r="C949" s="37" t="s">
        <v>798</v>
      </c>
      <c r="D949" s="35" t="s">
        <v>756</v>
      </c>
    </row>
    <row r="950" spans="3:4" hidden="1" outlineLevel="1" x14ac:dyDescent="0.3">
      <c r="C950" s="37" t="s">
        <v>799</v>
      </c>
      <c r="D950" s="35" t="s">
        <v>757</v>
      </c>
    </row>
    <row r="951" spans="3:4" hidden="1" outlineLevel="1" x14ac:dyDescent="0.3">
      <c r="C951" s="37" t="s">
        <v>800</v>
      </c>
      <c r="D951" s="35" t="s">
        <v>758</v>
      </c>
    </row>
    <row r="952" spans="3:4" hidden="1" outlineLevel="1" x14ac:dyDescent="0.3">
      <c r="C952" s="37" t="s">
        <v>801</v>
      </c>
      <c r="D952" s="35" t="s">
        <v>759</v>
      </c>
    </row>
    <row r="953" spans="3:4" hidden="1" outlineLevel="1" x14ac:dyDescent="0.3">
      <c r="C953" s="37" t="s">
        <v>802</v>
      </c>
      <c r="D953" s="35" t="s">
        <v>760</v>
      </c>
    </row>
    <row r="954" spans="3:4" hidden="1" outlineLevel="1" x14ac:dyDescent="0.3">
      <c r="C954" s="37" t="s">
        <v>803</v>
      </c>
      <c r="D954" s="35" t="s">
        <v>761</v>
      </c>
    </row>
    <row r="955" spans="3:4" hidden="1" outlineLevel="1" x14ac:dyDescent="0.3">
      <c r="C955" s="37" t="s">
        <v>804</v>
      </c>
      <c r="D955" s="35" t="s">
        <v>762</v>
      </c>
    </row>
    <row r="956" spans="3:4" hidden="1" outlineLevel="1" x14ac:dyDescent="0.3">
      <c r="C956" s="37" t="s">
        <v>805</v>
      </c>
      <c r="D956" s="35" t="s">
        <v>763</v>
      </c>
    </row>
    <row r="957" spans="3:4" hidden="1" outlineLevel="1" x14ac:dyDescent="0.3">
      <c r="C957" s="37" t="s">
        <v>806</v>
      </c>
      <c r="D957" s="35" t="s">
        <v>764</v>
      </c>
    </row>
    <row r="958" spans="3:4" hidden="1" outlineLevel="1" x14ac:dyDescent="0.3">
      <c r="C958" s="37" t="s">
        <v>807</v>
      </c>
      <c r="D958" s="35" t="s">
        <v>765</v>
      </c>
    </row>
    <row r="959" spans="3:4" hidden="1" outlineLevel="1" x14ac:dyDescent="0.3">
      <c r="C959" s="37" t="s">
        <v>808</v>
      </c>
      <c r="D959" s="35" t="s">
        <v>766</v>
      </c>
    </row>
    <row r="960" spans="3:4" hidden="1" outlineLevel="1" x14ac:dyDescent="0.3">
      <c r="C960" s="37" t="s">
        <v>809</v>
      </c>
      <c r="D960" s="35" t="s">
        <v>767</v>
      </c>
    </row>
    <row r="961" spans="2:4" hidden="1" outlineLevel="1" x14ac:dyDescent="0.3">
      <c r="C961" s="37" t="s">
        <v>810</v>
      </c>
      <c r="D961" s="35" t="s">
        <v>768</v>
      </c>
    </row>
    <row r="962" spans="2:4" hidden="1" outlineLevel="1" x14ac:dyDescent="0.3">
      <c r="C962" s="37" t="s">
        <v>811</v>
      </c>
      <c r="D962" s="35" t="s">
        <v>769</v>
      </c>
    </row>
    <row r="963" spans="2:4" hidden="1" outlineLevel="1" x14ac:dyDescent="0.3">
      <c r="C963" s="37" t="s">
        <v>812</v>
      </c>
      <c r="D963" s="35" t="s">
        <v>770</v>
      </c>
    </row>
    <row r="964" spans="2:4" hidden="1" outlineLevel="1" x14ac:dyDescent="0.3">
      <c r="C964" s="37" t="s">
        <v>813</v>
      </c>
      <c r="D964" s="35" t="s">
        <v>771</v>
      </c>
    </row>
    <row r="965" spans="2:4" hidden="1" outlineLevel="1" x14ac:dyDescent="0.3">
      <c r="C965" s="37" t="s">
        <v>814</v>
      </c>
      <c r="D965" s="35" t="s">
        <v>772</v>
      </c>
    </row>
    <row r="966" spans="2:4" hidden="1" outlineLevel="1" x14ac:dyDescent="0.3">
      <c r="C966" s="37" t="s">
        <v>815</v>
      </c>
      <c r="D966" s="35" t="s">
        <v>773</v>
      </c>
    </row>
    <row r="967" spans="2:4" hidden="1" outlineLevel="1" x14ac:dyDescent="0.3">
      <c r="C967" s="37" t="s">
        <v>816</v>
      </c>
      <c r="D967" s="35" t="s">
        <v>774</v>
      </c>
    </row>
    <row r="968" spans="2:4" hidden="1" outlineLevel="1" x14ac:dyDescent="0.3">
      <c r="C968" s="37" t="s">
        <v>817</v>
      </c>
      <c r="D968" s="35" t="s">
        <v>775</v>
      </c>
    </row>
    <row r="969" spans="2:4" hidden="1" outlineLevel="1" x14ac:dyDescent="0.3">
      <c r="C969" s="37" t="s">
        <v>818</v>
      </c>
      <c r="D969" s="35" t="s">
        <v>776</v>
      </c>
    </row>
    <row r="970" spans="2:4" hidden="1" outlineLevel="1" x14ac:dyDescent="0.3">
      <c r="C970" s="37" t="s">
        <v>819</v>
      </c>
      <c r="D970" s="35" t="s">
        <v>777</v>
      </c>
    </row>
    <row r="971" spans="2:4" collapsed="1" x14ac:dyDescent="0.3">
      <c r="B971" s="43" t="s">
        <v>331</v>
      </c>
      <c r="C971" t="s">
        <v>302</v>
      </c>
    </row>
    <row r="972" spans="2:4" hidden="1" outlineLevel="1" x14ac:dyDescent="0.3">
      <c r="C972" s="40" t="s">
        <v>779</v>
      </c>
      <c r="D972" s="35" t="s">
        <v>745</v>
      </c>
    </row>
    <row r="973" spans="2:4" hidden="1" outlineLevel="1" x14ac:dyDescent="0.3">
      <c r="C973" s="41" t="s">
        <v>780</v>
      </c>
      <c r="D973" s="42" t="s">
        <v>820</v>
      </c>
    </row>
    <row r="974" spans="2:4" hidden="1" outlineLevel="1" x14ac:dyDescent="0.3">
      <c r="C974" s="40" t="s">
        <v>781</v>
      </c>
      <c r="D974" s="35" t="s">
        <v>746</v>
      </c>
    </row>
    <row r="975" spans="2:4" hidden="1" outlineLevel="1" x14ac:dyDescent="0.3">
      <c r="C975" s="41" t="s">
        <v>782</v>
      </c>
      <c r="D975" s="35" t="s">
        <v>367</v>
      </c>
    </row>
    <row r="976" spans="2:4" hidden="1" outlineLevel="1" x14ac:dyDescent="0.3">
      <c r="C976" s="41" t="s">
        <v>785</v>
      </c>
      <c r="D976" s="35" t="s">
        <v>68</v>
      </c>
    </row>
    <row r="977" spans="3:4" hidden="1" outlineLevel="1" x14ac:dyDescent="0.3">
      <c r="C977" s="41" t="s">
        <v>786</v>
      </c>
      <c r="D977" s="35" t="s">
        <v>747</v>
      </c>
    </row>
    <row r="978" spans="3:4" hidden="1" outlineLevel="1" x14ac:dyDescent="0.3">
      <c r="C978" s="41" t="s">
        <v>783</v>
      </c>
      <c r="D978" s="35" t="s">
        <v>11</v>
      </c>
    </row>
    <row r="979" spans="3:4" hidden="1" outlineLevel="1" x14ac:dyDescent="0.3">
      <c r="C979" s="41" t="s">
        <v>784</v>
      </c>
      <c r="D979" s="35" t="s">
        <v>125</v>
      </c>
    </row>
    <row r="980" spans="3:4" hidden="1" outlineLevel="1" x14ac:dyDescent="0.3">
      <c r="C980" s="41" t="s">
        <v>787</v>
      </c>
      <c r="D980" s="35" t="s">
        <v>748</v>
      </c>
    </row>
    <row r="981" spans="3:4" hidden="1" outlineLevel="1" x14ac:dyDescent="0.3">
      <c r="C981" s="37" t="s">
        <v>788</v>
      </c>
      <c r="D981" s="35" t="s">
        <v>517</v>
      </c>
    </row>
    <row r="982" spans="3:4" hidden="1" outlineLevel="1" x14ac:dyDescent="0.3">
      <c r="C982" s="37" t="s">
        <v>789</v>
      </c>
      <c r="D982" s="35" t="s">
        <v>386</v>
      </c>
    </row>
    <row r="983" spans="3:4" hidden="1" outlineLevel="1" x14ac:dyDescent="0.3">
      <c r="C983" s="37" t="s">
        <v>790</v>
      </c>
      <c r="D983" s="35" t="s">
        <v>299</v>
      </c>
    </row>
    <row r="984" spans="3:4" hidden="1" outlineLevel="1" x14ac:dyDescent="0.3">
      <c r="C984" s="37" t="s">
        <v>791</v>
      </c>
      <c r="D984" s="35" t="s">
        <v>749</v>
      </c>
    </row>
    <row r="985" spans="3:4" hidden="1" outlineLevel="1" x14ac:dyDescent="0.3">
      <c r="C985" s="37" t="s">
        <v>792</v>
      </c>
      <c r="D985" s="35" t="s">
        <v>750</v>
      </c>
    </row>
    <row r="986" spans="3:4" hidden="1" outlineLevel="1" x14ac:dyDescent="0.3">
      <c r="C986" s="37" t="s">
        <v>793</v>
      </c>
      <c r="D986" s="35" t="s">
        <v>751</v>
      </c>
    </row>
    <row r="987" spans="3:4" hidden="1" outlineLevel="1" x14ac:dyDescent="0.3">
      <c r="C987" s="37" t="s">
        <v>794</v>
      </c>
      <c r="D987" s="35" t="s">
        <v>752</v>
      </c>
    </row>
    <row r="988" spans="3:4" hidden="1" outlineLevel="1" x14ac:dyDescent="0.3">
      <c r="C988" s="37" t="s">
        <v>795</v>
      </c>
      <c r="D988" s="35" t="s">
        <v>753</v>
      </c>
    </row>
    <row r="989" spans="3:4" hidden="1" outlineLevel="1" x14ac:dyDescent="0.3">
      <c r="C989" s="37" t="s">
        <v>796</v>
      </c>
      <c r="D989" s="35" t="s">
        <v>754</v>
      </c>
    </row>
    <row r="990" spans="3:4" hidden="1" outlineLevel="1" x14ac:dyDescent="0.3">
      <c r="C990" s="37" t="s">
        <v>797</v>
      </c>
      <c r="D990" s="35" t="s">
        <v>755</v>
      </c>
    </row>
    <row r="991" spans="3:4" hidden="1" outlineLevel="1" x14ac:dyDescent="0.3">
      <c r="C991" s="37" t="s">
        <v>798</v>
      </c>
      <c r="D991" s="35" t="s">
        <v>756</v>
      </c>
    </row>
    <row r="992" spans="3:4" hidden="1" outlineLevel="1" x14ac:dyDescent="0.3">
      <c r="C992" s="37" t="s">
        <v>799</v>
      </c>
      <c r="D992" s="35" t="s">
        <v>757</v>
      </c>
    </row>
    <row r="993" spans="3:4" hidden="1" outlineLevel="1" x14ac:dyDescent="0.3">
      <c r="C993" s="37" t="s">
        <v>800</v>
      </c>
      <c r="D993" s="35" t="s">
        <v>758</v>
      </c>
    </row>
    <row r="994" spans="3:4" hidden="1" outlineLevel="1" x14ac:dyDescent="0.3">
      <c r="C994" s="37" t="s">
        <v>801</v>
      </c>
      <c r="D994" s="35" t="s">
        <v>759</v>
      </c>
    </row>
    <row r="995" spans="3:4" hidden="1" outlineLevel="1" x14ac:dyDescent="0.3">
      <c r="C995" s="37" t="s">
        <v>802</v>
      </c>
      <c r="D995" s="35" t="s">
        <v>760</v>
      </c>
    </row>
    <row r="996" spans="3:4" hidden="1" outlineLevel="1" x14ac:dyDescent="0.3">
      <c r="C996" s="37" t="s">
        <v>803</v>
      </c>
      <c r="D996" s="35" t="s">
        <v>761</v>
      </c>
    </row>
    <row r="997" spans="3:4" hidden="1" outlineLevel="1" x14ac:dyDescent="0.3">
      <c r="C997" s="37" t="s">
        <v>804</v>
      </c>
      <c r="D997" s="35" t="s">
        <v>762</v>
      </c>
    </row>
    <row r="998" spans="3:4" hidden="1" outlineLevel="1" x14ac:dyDescent="0.3">
      <c r="C998" s="37" t="s">
        <v>805</v>
      </c>
      <c r="D998" s="35" t="s">
        <v>763</v>
      </c>
    </row>
    <row r="999" spans="3:4" hidden="1" outlineLevel="1" x14ac:dyDescent="0.3">
      <c r="C999" s="37" t="s">
        <v>806</v>
      </c>
      <c r="D999" s="35" t="s">
        <v>764</v>
      </c>
    </row>
    <row r="1000" spans="3:4" hidden="1" outlineLevel="1" x14ac:dyDescent="0.3">
      <c r="C1000" s="37" t="s">
        <v>807</v>
      </c>
      <c r="D1000" s="35" t="s">
        <v>765</v>
      </c>
    </row>
    <row r="1001" spans="3:4" hidden="1" outlineLevel="1" x14ac:dyDescent="0.3">
      <c r="C1001" s="37" t="s">
        <v>808</v>
      </c>
      <c r="D1001" s="35" t="s">
        <v>766</v>
      </c>
    </row>
    <row r="1002" spans="3:4" hidden="1" outlineLevel="1" x14ac:dyDescent="0.3">
      <c r="C1002" s="37" t="s">
        <v>809</v>
      </c>
      <c r="D1002" s="35" t="s">
        <v>767</v>
      </c>
    </row>
    <row r="1003" spans="3:4" hidden="1" outlineLevel="1" x14ac:dyDescent="0.3">
      <c r="C1003" s="37" t="s">
        <v>810</v>
      </c>
      <c r="D1003" s="35" t="s">
        <v>768</v>
      </c>
    </row>
    <row r="1004" spans="3:4" hidden="1" outlineLevel="1" x14ac:dyDescent="0.3">
      <c r="C1004" s="37" t="s">
        <v>811</v>
      </c>
      <c r="D1004" s="35" t="s">
        <v>769</v>
      </c>
    </row>
    <row r="1005" spans="3:4" hidden="1" outlineLevel="1" x14ac:dyDescent="0.3">
      <c r="C1005" s="37" t="s">
        <v>812</v>
      </c>
      <c r="D1005" s="35" t="s">
        <v>770</v>
      </c>
    </row>
    <row r="1006" spans="3:4" hidden="1" outlineLevel="1" x14ac:dyDescent="0.3">
      <c r="C1006" s="37" t="s">
        <v>813</v>
      </c>
      <c r="D1006" s="35" t="s">
        <v>771</v>
      </c>
    </row>
    <row r="1007" spans="3:4" hidden="1" outlineLevel="1" x14ac:dyDescent="0.3">
      <c r="C1007" s="37" t="s">
        <v>814</v>
      </c>
      <c r="D1007" s="35" t="s">
        <v>772</v>
      </c>
    </row>
    <row r="1008" spans="3:4" hidden="1" outlineLevel="1" x14ac:dyDescent="0.3">
      <c r="C1008" s="37" t="s">
        <v>815</v>
      </c>
      <c r="D1008" s="35" t="s">
        <v>773</v>
      </c>
    </row>
    <row r="1009" spans="2:4" hidden="1" outlineLevel="1" x14ac:dyDescent="0.3">
      <c r="C1009" s="37" t="s">
        <v>816</v>
      </c>
      <c r="D1009" s="35" t="s">
        <v>774</v>
      </c>
    </row>
    <row r="1010" spans="2:4" hidden="1" outlineLevel="1" x14ac:dyDescent="0.3">
      <c r="C1010" s="37" t="s">
        <v>817</v>
      </c>
      <c r="D1010" s="35" t="s">
        <v>775</v>
      </c>
    </row>
    <row r="1011" spans="2:4" hidden="1" outlineLevel="1" x14ac:dyDescent="0.3">
      <c r="C1011" s="37" t="s">
        <v>818</v>
      </c>
      <c r="D1011" s="35" t="s">
        <v>776</v>
      </c>
    </row>
    <row r="1012" spans="2:4" hidden="1" outlineLevel="1" x14ac:dyDescent="0.3">
      <c r="C1012" s="37" t="s">
        <v>819</v>
      </c>
      <c r="D1012" s="35" t="s">
        <v>777</v>
      </c>
    </row>
    <row r="1013" spans="2:4" collapsed="1" x14ac:dyDescent="0.3">
      <c r="B1013" s="43" t="s">
        <v>301</v>
      </c>
      <c r="C1013" t="s">
        <v>302</v>
      </c>
    </row>
    <row r="1014" spans="2:4" hidden="1" outlineLevel="1" x14ac:dyDescent="0.3">
      <c r="C1014" s="40" t="s">
        <v>779</v>
      </c>
      <c r="D1014" s="35" t="s">
        <v>745</v>
      </c>
    </row>
    <row r="1015" spans="2:4" hidden="1" outlineLevel="1" x14ac:dyDescent="0.3">
      <c r="C1015" s="41" t="s">
        <v>780</v>
      </c>
      <c r="D1015" s="42" t="s">
        <v>820</v>
      </c>
    </row>
    <row r="1016" spans="2:4" hidden="1" outlineLevel="1" x14ac:dyDescent="0.3">
      <c r="C1016" s="40" t="s">
        <v>781</v>
      </c>
      <c r="D1016" s="35" t="s">
        <v>746</v>
      </c>
    </row>
    <row r="1017" spans="2:4" hidden="1" outlineLevel="1" x14ac:dyDescent="0.3">
      <c r="C1017" s="41" t="s">
        <v>782</v>
      </c>
      <c r="D1017" s="35" t="s">
        <v>367</v>
      </c>
    </row>
    <row r="1018" spans="2:4" hidden="1" outlineLevel="1" x14ac:dyDescent="0.3">
      <c r="C1018" s="41" t="s">
        <v>785</v>
      </c>
      <c r="D1018" s="35" t="s">
        <v>68</v>
      </c>
    </row>
    <row r="1019" spans="2:4" hidden="1" outlineLevel="1" x14ac:dyDescent="0.3">
      <c r="C1019" s="41" t="s">
        <v>786</v>
      </c>
      <c r="D1019" s="35" t="s">
        <v>747</v>
      </c>
    </row>
    <row r="1020" spans="2:4" hidden="1" outlineLevel="1" x14ac:dyDescent="0.3">
      <c r="C1020" s="41" t="s">
        <v>783</v>
      </c>
      <c r="D1020" s="35" t="s">
        <v>11</v>
      </c>
    </row>
    <row r="1021" spans="2:4" hidden="1" outlineLevel="1" x14ac:dyDescent="0.3">
      <c r="C1021" s="41" t="s">
        <v>784</v>
      </c>
      <c r="D1021" s="35" t="s">
        <v>125</v>
      </c>
    </row>
    <row r="1022" spans="2:4" hidden="1" outlineLevel="1" x14ac:dyDescent="0.3">
      <c r="C1022" s="41" t="s">
        <v>787</v>
      </c>
      <c r="D1022" s="35" t="s">
        <v>748</v>
      </c>
    </row>
    <row r="1023" spans="2:4" hidden="1" outlineLevel="1" x14ac:dyDescent="0.3">
      <c r="C1023" s="37" t="s">
        <v>788</v>
      </c>
      <c r="D1023" s="35" t="s">
        <v>517</v>
      </c>
    </row>
    <row r="1024" spans="2:4" hidden="1" outlineLevel="1" x14ac:dyDescent="0.3">
      <c r="C1024" s="37" t="s">
        <v>789</v>
      </c>
      <c r="D1024" s="35" t="s">
        <v>386</v>
      </c>
    </row>
    <row r="1025" spans="3:4" hidden="1" outlineLevel="1" x14ac:dyDescent="0.3">
      <c r="C1025" s="37" t="s">
        <v>790</v>
      </c>
      <c r="D1025" s="35" t="s">
        <v>299</v>
      </c>
    </row>
    <row r="1026" spans="3:4" hidden="1" outlineLevel="1" x14ac:dyDescent="0.3">
      <c r="C1026" s="37" t="s">
        <v>791</v>
      </c>
      <c r="D1026" s="35" t="s">
        <v>749</v>
      </c>
    </row>
    <row r="1027" spans="3:4" hidden="1" outlineLevel="1" x14ac:dyDescent="0.3">
      <c r="C1027" s="37" t="s">
        <v>792</v>
      </c>
      <c r="D1027" s="35" t="s">
        <v>750</v>
      </c>
    </row>
    <row r="1028" spans="3:4" hidden="1" outlineLevel="1" x14ac:dyDescent="0.3">
      <c r="C1028" s="37" t="s">
        <v>793</v>
      </c>
      <c r="D1028" s="35" t="s">
        <v>751</v>
      </c>
    </row>
    <row r="1029" spans="3:4" hidden="1" outlineLevel="1" x14ac:dyDescent="0.3">
      <c r="C1029" s="37" t="s">
        <v>794</v>
      </c>
      <c r="D1029" s="35" t="s">
        <v>752</v>
      </c>
    </row>
    <row r="1030" spans="3:4" hidden="1" outlineLevel="1" x14ac:dyDescent="0.3">
      <c r="C1030" s="37" t="s">
        <v>795</v>
      </c>
      <c r="D1030" s="35" t="s">
        <v>753</v>
      </c>
    </row>
    <row r="1031" spans="3:4" hidden="1" outlineLevel="1" x14ac:dyDescent="0.3">
      <c r="C1031" s="37" t="s">
        <v>796</v>
      </c>
      <c r="D1031" s="35" t="s">
        <v>754</v>
      </c>
    </row>
    <row r="1032" spans="3:4" hidden="1" outlineLevel="1" x14ac:dyDescent="0.3">
      <c r="C1032" s="37" t="s">
        <v>797</v>
      </c>
      <c r="D1032" s="35" t="s">
        <v>755</v>
      </c>
    </row>
    <row r="1033" spans="3:4" hidden="1" outlineLevel="1" x14ac:dyDescent="0.3">
      <c r="C1033" s="37" t="s">
        <v>798</v>
      </c>
      <c r="D1033" s="35" t="s">
        <v>756</v>
      </c>
    </row>
    <row r="1034" spans="3:4" hidden="1" outlineLevel="1" x14ac:dyDescent="0.3">
      <c r="C1034" s="37" t="s">
        <v>799</v>
      </c>
      <c r="D1034" s="35" t="s">
        <v>757</v>
      </c>
    </row>
    <row r="1035" spans="3:4" hidden="1" outlineLevel="1" x14ac:dyDescent="0.3">
      <c r="C1035" s="37" t="s">
        <v>800</v>
      </c>
      <c r="D1035" s="35" t="s">
        <v>758</v>
      </c>
    </row>
    <row r="1036" spans="3:4" hidden="1" outlineLevel="1" x14ac:dyDescent="0.3">
      <c r="C1036" s="37" t="s">
        <v>801</v>
      </c>
      <c r="D1036" s="35" t="s">
        <v>759</v>
      </c>
    </row>
    <row r="1037" spans="3:4" hidden="1" outlineLevel="1" x14ac:dyDescent="0.3">
      <c r="C1037" s="37" t="s">
        <v>802</v>
      </c>
      <c r="D1037" s="35" t="s">
        <v>760</v>
      </c>
    </row>
    <row r="1038" spans="3:4" hidden="1" outlineLevel="1" x14ac:dyDescent="0.3">
      <c r="C1038" s="37" t="s">
        <v>803</v>
      </c>
      <c r="D1038" s="35" t="s">
        <v>761</v>
      </c>
    </row>
    <row r="1039" spans="3:4" hidden="1" outlineLevel="1" x14ac:dyDescent="0.3">
      <c r="C1039" s="37" t="s">
        <v>804</v>
      </c>
      <c r="D1039" s="35" t="s">
        <v>762</v>
      </c>
    </row>
    <row r="1040" spans="3:4" hidden="1" outlineLevel="1" x14ac:dyDescent="0.3">
      <c r="C1040" s="37" t="s">
        <v>805</v>
      </c>
      <c r="D1040" s="35" t="s">
        <v>763</v>
      </c>
    </row>
    <row r="1041" spans="2:4" hidden="1" outlineLevel="1" x14ac:dyDescent="0.3">
      <c r="C1041" s="37" t="s">
        <v>806</v>
      </c>
      <c r="D1041" s="35" t="s">
        <v>764</v>
      </c>
    </row>
    <row r="1042" spans="2:4" hidden="1" outlineLevel="1" x14ac:dyDescent="0.3">
      <c r="C1042" s="37" t="s">
        <v>807</v>
      </c>
      <c r="D1042" s="35" t="s">
        <v>765</v>
      </c>
    </row>
    <row r="1043" spans="2:4" hidden="1" outlineLevel="1" x14ac:dyDescent="0.3">
      <c r="C1043" s="37" t="s">
        <v>808</v>
      </c>
      <c r="D1043" s="35" t="s">
        <v>766</v>
      </c>
    </row>
    <row r="1044" spans="2:4" hidden="1" outlineLevel="1" x14ac:dyDescent="0.3">
      <c r="C1044" s="37" t="s">
        <v>809</v>
      </c>
      <c r="D1044" s="35" t="s">
        <v>767</v>
      </c>
    </row>
    <row r="1045" spans="2:4" hidden="1" outlineLevel="1" x14ac:dyDescent="0.3">
      <c r="C1045" s="37" t="s">
        <v>810</v>
      </c>
      <c r="D1045" s="35" t="s">
        <v>768</v>
      </c>
    </row>
    <row r="1046" spans="2:4" hidden="1" outlineLevel="1" x14ac:dyDescent="0.3">
      <c r="C1046" s="37" t="s">
        <v>811</v>
      </c>
      <c r="D1046" s="35" t="s">
        <v>769</v>
      </c>
    </row>
    <row r="1047" spans="2:4" hidden="1" outlineLevel="1" x14ac:dyDescent="0.3">
      <c r="C1047" s="37" t="s">
        <v>812</v>
      </c>
      <c r="D1047" s="35" t="s">
        <v>770</v>
      </c>
    </row>
    <row r="1048" spans="2:4" hidden="1" outlineLevel="1" x14ac:dyDescent="0.3">
      <c r="C1048" s="37" t="s">
        <v>813</v>
      </c>
      <c r="D1048" s="35" t="s">
        <v>771</v>
      </c>
    </row>
    <row r="1049" spans="2:4" hidden="1" outlineLevel="1" x14ac:dyDescent="0.3">
      <c r="C1049" s="37" t="s">
        <v>814</v>
      </c>
      <c r="D1049" s="35" t="s">
        <v>772</v>
      </c>
    </row>
    <row r="1050" spans="2:4" hidden="1" outlineLevel="1" x14ac:dyDescent="0.3">
      <c r="C1050" s="37" t="s">
        <v>815</v>
      </c>
      <c r="D1050" s="35" t="s">
        <v>773</v>
      </c>
    </row>
    <row r="1051" spans="2:4" hidden="1" outlineLevel="1" x14ac:dyDescent="0.3">
      <c r="C1051" s="37" t="s">
        <v>816</v>
      </c>
      <c r="D1051" s="35" t="s">
        <v>774</v>
      </c>
    </row>
    <row r="1052" spans="2:4" hidden="1" outlineLevel="1" x14ac:dyDescent="0.3">
      <c r="C1052" s="37" t="s">
        <v>817</v>
      </c>
      <c r="D1052" s="35" t="s">
        <v>775</v>
      </c>
    </row>
    <row r="1053" spans="2:4" hidden="1" outlineLevel="1" x14ac:dyDescent="0.3">
      <c r="C1053" s="37" t="s">
        <v>818</v>
      </c>
      <c r="D1053" s="35" t="s">
        <v>776</v>
      </c>
    </row>
    <row r="1054" spans="2:4" hidden="1" outlineLevel="1" x14ac:dyDescent="0.3">
      <c r="C1054" s="37" t="s">
        <v>819</v>
      </c>
      <c r="D1054" s="35" t="s">
        <v>777</v>
      </c>
    </row>
    <row r="1055" spans="2:4" collapsed="1" x14ac:dyDescent="0.3">
      <c r="B1055" s="43" t="s">
        <v>366</v>
      </c>
      <c r="C1055" t="s">
        <v>367</v>
      </c>
    </row>
    <row r="1056" spans="2:4" hidden="1" outlineLevel="1" x14ac:dyDescent="0.3">
      <c r="C1056" s="40" t="s">
        <v>779</v>
      </c>
      <c r="D1056" s="35" t="s">
        <v>745</v>
      </c>
    </row>
    <row r="1057" spans="3:4" hidden="1" outlineLevel="1" x14ac:dyDescent="0.3">
      <c r="C1057" s="41" t="s">
        <v>780</v>
      </c>
      <c r="D1057" s="42" t="s">
        <v>820</v>
      </c>
    </row>
    <row r="1058" spans="3:4" hidden="1" outlineLevel="1" x14ac:dyDescent="0.3">
      <c r="C1058" s="40" t="s">
        <v>781</v>
      </c>
      <c r="D1058" s="35" t="s">
        <v>746</v>
      </c>
    </row>
    <row r="1059" spans="3:4" hidden="1" outlineLevel="1" x14ac:dyDescent="0.3">
      <c r="C1059" s="41" t="s">
        <v>782</v>
      </c>
      <c r="D1059" s="35" t="s">
        <v>367</v>
      </c>
    </row>
    <row r="1060" spans="3:4" hidden="1" outlineLevel="1" x14ac:dyDescent="0.3">
      <c r="C1060" s="41" t="s">
        <v>785</v>
      </c>
      <c r="D1060" s="35" t="s">
        <v>68</v>
      </c>
    </row>
    <row r="1061" spans="3:4" hidden="1" outlineLevel="1" x14ac:dyDescent="0.3">
      <c r="C1061" s="41" t="s">
        <v>786</v>
      </c>
      <c r="D1061" s="35" t="s">
        <v>747</v>
      </c>
    </row>
    <row r="1062" spans="3:4" hidden="1" outlineLevel="1" x14ac:dyDescent="0.3">
      <c r="C1062" s="41" t="s">
        <v>783</v>
      </c>
      <c r="D1062" s="35" t="s">
        <v>11</v>
      </c>
    </row>
    <row r="1063" spans="3:4" hidden="1" outlineLevel="1" x14ac:dyDescent="0.3">
      <c r="C1063" s="41" t="s">
        <v>784</v>
      </c>
      <c r="D1063" s="35" t="s">
        <v>125</v>
      </c>
    </row>
    <row r="1064" spans="3:4" hidden="1" outlineLevel="1" x14ac:dyDescent="0.3">
      <c r="C1064" s="41" t="s">
        <v>787</v>
      </c>
      <c r="D1064" s="35" t="s">
        <v>748</v>
      </c>
    </row>
    <row r="1065" spans="3:4" hidden="1" outlineLevel="1" x14ac:dyDescent="0.3">
      <c r="C1065" s="37" t="s">
        <v>788</v>
      </c>
      <c r="D1065" s="35" t="s">
        <v>517</v>
      </c>
    </row>
    <row r="1066" spans="3:4" hidden="1" outlineLevel="1" x14ac:dyDescent="0.3">
      <c r="C1066" s="37" t="s">
        <v>789</v>
      </c>
      <c r="D1066" s="35" t="s">
        <v>386</v>
      </c>
    </row>
    <row r="1067" spans="3:4" hidden="1" outlineLevel="1" x14ac:dyDescent="0.3">
      <c r="C1067" s="37" t="s">
        <v>790</v>
      </c>
      <c r="D1067" s="35" t="s">
        <v>299</v>
      </c>
    </row>
    <row r="1068" spans="3:4" hidden="1" outlineLevel="1" x14ac:dyDescent="0.3">
      <c r="C1068" s="37" t="s">
        <v>791</v>
      </c>
      <c r="D1068" s="35" t="s">
        <v>749</v>
      </c>
    </row>
    <row r="1069" spans="3:4" hidden="1" outlineLevel="1" x14ac:dyDescent="0.3">
      <c r="C1069" s="37" t="s">
        <v>792</v>
      </c>
      <c r="D1069" s="35" t="s">
        <v>750</v>
      </c>
    </row>
    <row r="1070" spans="3:4" hidden="1" outlineLevel="1" x14ac:dyDescent="0.3">
      <c r="C1070" s="37" t="s">
        <v>793</v>
      </c>
      <c r="D1070" s="35" t="s">
        <v>751</v>
      </c>
    </row>
    <row r="1071" spans="3:4" hidden="1" outlineLevel="1" x14ac:dyDescent="0.3">
      <c r="C1071" s="37" t="s">
        <v>794</v>
      </c>
      <c r="D1071" s="35" t="s">
        <v>752</v>
      </c>
    </row>
    <row r="1072" spans="3:4" hidden="1" outlineLevel="1" x14ac:dyDescent="0.3">
      <c r="C1072" s="37" t="s">
        <v>795</v>
      </c>
      <c r="D1072" s="35" t="s">
        <v>753</v>
      </c>
    </row>
    <row r="1073" spans="3:4" hidden="1" outlineLevel="1" x14ac:dyDescent="0.3">
      <c r="C1073" s="37" t="s">
        <v>796</v>
      </c>
      <c r="D1073" s="35" t="s">
        <v>754</v>
      </c>
    </row>
    <row r="1074" spans="3:4" hidden="1" outlineLevel="1" x14ac:dyDescent="0.3">
      <c r="C1074" s="37" t="s">
        <v>797</v>
      </c>
      <c r="D1074" s="35" t="s">
        <v>755</v>
      </c>
    </row>
    <row r="1075" spans="3:4" hidden="1" outlineLevel="1" x14ac:dyDescent="0.3">
      <c r="C1075" s="37" t="s">
        <v>798</v>
      </c>
      <c r="D1075" s="35" t="s">
        <v>756</v>
      </c>
    </row>
    <row r="1076" spans="3:4" hidden="1" outlineLevel="1" x14ac:dyDescent="0.3">
      <c r="C1076" s="37" t="s">
        <v>799</v>
      </c>
      <c r="D1076" s="35" t="s">
        <v>757</v>
      </c>
    </row>
    <row r="1077" spans="3:4" hidden="1" outlineLevel="1" x14ac:dyDescent="0.3">
      <c r="C1077" s="37" t="s">
        <v>800</v>
      </c>
      <c r="D1077" s="35" t="s">
        <v>758</v>
      </c>
    </row>
    <row r="1078" spans="3:4" hidden="1" outlineLevel="1" x14ac:dyDescent="0.3">
      <c r="C1078" s="37" t="s">
        <v>801</v>
      </c>
      <c r="D1078" s="35" t="s">
        <v>759</v>
      </c>
    </row>
    <row r="1079" spans="3:4" hidden="1" outlineLevel="1" x14ac:dyDescent="0.3">
      <c r="C1079" s="37" t="s">
        <v>802</v>
      </c>
      <c r="D1079" s="35" t="s">
        <v>760</v>
      </c>
    </row>
    <row r="1080" spans="3:4" hidden="1" outlineLevel="1" x14ac:dyDescent="0.3">
      <c r="C1080" s="37" t="s">
        <v>803</v>
      </c>
      <c r="D1080" s="35" t="s">
        <v>761</v>
      </c>
    </row>
    <row r="1081" spans="3:4" hidden="1" outlineLevel="1" x14ac:dyDescent="0.3">
      <c r="C1081" s="37" t="s">
        <v>804</v>
      </c>
      <c r="D1081" s="35" t="s">
        <v>762</v>
      </c>
    </row>
    <row r="1082" spans="3:4" hidden="1" outlineLevel="1" x14ac:dyDescent="0.3">
      <c r="C1082" s="37" t="s">
        <v>805</v>
      </c>
      <c r="D1082" s="35" t="s">
        <v>763</v>
      </c>
    </row>
    <row r="1083" spans="3:4" hidden="1" outlineLevel="1" x14ac:dyDescent="0.3">
      <c r="C1083" s="37" t="s">
        <v>806</v>
      </c>
      <c r="D1083" s="35" t="s">
        <v>764</v>
      </c>
    </row>
    <row r="1084" spans="3:4" hidden="1" outlineLevel="1" x14ac:dyDescent="0.3">
      <c r="C1084" s="37" t="s">
        <v>807</v>
      </c>
      <c r="D1084" s="35" t="s">
        <v>765</v>
      </c>
    </row>
    <row r="1085" spans="3:4" hidden="1" outlineLevel="1" x14ac:dyDescent="0.3">
      <c r="C1085" s="37" t="s">
        <v>808</v>
      </c>
      <c r="D1085" s="35" t="s">
        <v>766</v>
      </c>
    </row>
    <row r="1086" spans="3:4" hidden="1" outlineLevel="1" x14ac:dyDescent="0.3">
      <c r="C1086" s="37" t="s">
        <v>809</v>
      </c>
      <c r="D1086" s="35" t="s">
        <v>767</v>
      </c>
    </row>
    <row r="1087" spans="3:4" hidden="1" outlineLevel="1" x14ac:dyDescent="0.3">
      <c r="C1087" s="37" t="s">
        <v>810</v>
      </c>
      <c r="D1087" s="35" t="s">
        <v>768</v>
      </c>
    </row>
    <row r="1088" spans="3:4" hidden="1" outlineLevel="1" x14ac:dyDescent="0.3">
      <c r="C1088" s="37" t="s">
        <v>811</v>
      </c>
      <c r="D1088" s="35" t="s">
        <v>769</v>
      </c>
    </row>
    <row r="1089" spans="2:4" hidden="1" outlineLevel="1" x14ac:dyDescent="0.3">
      <c r="C1089" s="37" t="s">
        <v>812</v>
      </c>
      <c r="D1089" s="35" t="s">
        <v>770</v>
      </c>
    </row>
    <row r="1090" spans="2:4" hidden="1" outlineLevel="1" x14ac:dyDescent="0.3">
      <c r="C1090" s="37" t="s">
        <v>813</v>
      </c>
      <c r="D1090" s="35" t="s">
        <v>771</v>
      </c>
    </row>
    <row r="1091" spans="2:4" hidden="1" outlineLevel="1" x14ac:dyDescent="0.3">
      <c r="C1091" s="37" t="s">
        <v>814</v>
      </c>
      <c r="D1091" s="35" t="s">
        <v>772</v>
      </c>
    </row>
    <row r="1092" spans="2:4" hidden="1" outlineLevel="1" x14ac:dyDescent="0.3">
      <c r="C1092" s="37" t="s">
        <v>815</v>
      </c>
      <c r="D1092" s="35" t="s">
        <v>773</v>
      </c>
    </row>
    <row r="1093" spans="2:4" hidden="1" outlineLevel="1" x14ac:dyDescent="0.3">
      <c r="C1093" s="37" t="s">
        <v>816</v>
      </c>
      <c r="D1093" s="35" t="s">
        <v>774</v>
      </c>
    </row>
    <row r="1094" spans="2:4" hidden="1" outlineLevel="1" x14ac:dyDescent="0.3">
      <c r="C1094" s="37" t="s">
        <v>817</v>
      </c>
      <c r="D1094" s="35" t="s">
        <v>775</v>
      </c>
    </row>
    <row r="1095" spans="2:4" hidden="1" outlineLevel="1" x14ac:dyDescent="0.3">
      <c r="C1095" s="37" t="s">
        <v>818</v>
      </c>
      <c r="D1095" s="35" t="s">
        <v>776</v>
      </c>
    </row>
    <row r="1096" spans="2:4" hidden="1" outlineLevel="1" x14ac:dyDescent="0.3">
      <c r="C1096" s="37" t="s">
        <v>819</v>
      </c>
      <c r="D1096" s="35" t="s">
        <v>777</v>
      </c>
    </row>
    <row r="1097" spans="2:4" collapsed="1" x14ac:dyDescent="0.3">
      <c r="B1097" s="43" t="s">
        <v>552</v>
      </c>
      <c r="C1097" t="s">
        <v>18</v>
      </c>
    </row>
    <row r="1098" spans="2:4" hidden="1" outlineLevel="1" x14ac:dyDescent="0.3">
      <c r="C1098" s="40" t="s">
        <v>779</v>
      </c>
      <c r="D1098" s="35" t="s">
        <v>745</v>
      </c>
    </row>
    <row r="1099" spans="2:4" hidden="1" outlineLevel="1" x14ac:dyDescent="0.3">
      <c r="C1099" s="41" t="s">
        <v>780</v>
      </c>
      <c r="D1099" s="42" t="s">
        <v>820</v>
      </c>
    </row>
    <row r="1100" spans="2:4" hidden="1" outlineLevel="1" x14ac:dyDescent="0.3">
      <c r="C1100" s="40" t="s">
        <v>781</v>
      </c>
      <c r="D1100" s="35" t="s">
        <v>746</v>
      </c>
    </row>
    <row r="1101" spans="2:4" hidden="1" outlineLevel="1" x14ac:dyDescent="0.3">
      <c r="C1101" s="41" t="s">
        <v>782</v>
      </c>
      <c r="D1101" s="35" t="s">
        <v>367</v>
      </c>
    </row>
    <row r="1102" spans="2:4" hidden="1" outlineLevel="1" x14ac:dyDescent="0.3">
      <c r="C1102" s="41" t="s">
        <v>785</v>
      </c>
      <c r="D1102" s="35" t="s">
        <v>68</v>
      </c>
    </row>
    <row r="1103" spans="2:4" hidden="1" outlineLevel="1" x14ac:dyDescent="0.3">
      <c r="C1103" s="41" t="s">
        <v>786</v>
      </c>
      <c r="D1103" s="35" t="s">
        <v>747</v>
      </c>
    </row>
    <row r="1104" spans="2:4" hidden="1" outlineLevel="1" x14ac:dyDescent="0.3">
      <c r="C1104" s="41" t="s">
        <v>783</v>
      </c>
      <c r="D1104" s="35" t="s">
        <v>11</v>
      </c>
    </row>
    <row r="1105" spans="3:4" hidden="1" outlineLevel="1" x14ac:dyDescent="0.3">
      <c r="C1105" s="41" t="s">
        <v>784</v>
      </c>
      <c r="D1105" s="35" t="s">
        <v>125</v>
      </c>
    </row>
    <row r="1106" spans="3:4" hidden="1" outlineLevel="1" x14ac:dyDescent="0.3">
      <c r="C1106" s="41" t="s">
        <v>787</v>
      </c>
      <c r="D1106" s="35" t="s">
        <v>748</v>
      </c>
    </row>
    <row r="1107" spans="3:4" hidden="1" outlineLevel="1" x14ac:dyDescent="0.3">
      <c r="C1107" s="37" t="s">
        <v>788</v>
      </c>
      <c r="D1107" s="35" t="s">
        <v>517</v>
      </c>
    </row>
    <row r="1108" spans="3:4" hidden="1" outlineLevel="1" x14ac:dyDescent="0.3">
      <c r="C1108" s="37" t="s">
        <v>789</v>
      </c>
      <c r="D1108" s="35" t="s">
        <v>386</v>
      </c>
    </row>
    <row r="1109" spans="3:4" hidden="1" outlineLevel="1" x14ac:dyDescent="0.3">
      <c r="C1109" s="37" t="s">
        <v>790</v>
      </c>
      <c r="D1109" s="35" t="s">
        <v>299</v>
      </c>
    </row>
    <row r="1110" spans="3:4" hidden="1" outlineLevel="1" x14ac:dyDescent="0.3">
      <c r="C1110" s="37" t="s">
        <v>791</v>
      </c>
      <c r="D1110" s="35" t="s">
        <v>749</v>
      </c>
    </row>
    <row r="1111" spans="3:4" hidden="1" outlineLevel="1" x14ac:dyDescent="0.3">
      <c r="C1111" s="37" t="s">
        <v>792</v>
      </c>
      <c r="D1111" s="35" t="s">
        <v>750</v>
      </c>
    </row>
    <row r="1112" spans="3:4" hidden="1" outlineLevel="1" x14ac:dyDescent="0.3">
      <c r="C1112" s="37" t="s">
        <v>793</v>
      </c>
      <c r="D1112" s="35" t="s">
        <v>751</v>
      </c>
    </row>
    <row r="1113" spans="3:4" hidden="1" outlineLevel="1" x14ac:dyDescent="0.3">
      <c r="C1113" s="37" t="s">
        <v>794</v>
      </c>
      <c r="D1113" s="35" t="s">
        <v>752</v>
      </c>
    </row>
    <row r="1114" spans="3:4" hidden="1" outlineLevel="1" x14ac:dyDescent="0.3">
      <c r="C1114" s="37" t="s">
        <v>795</v>
      </c>
      <c r="D1114" s="35" t="s">
        <v>753</v>
      </c>
    </row>
    <row r="1115" spans="3:4" hidden="1" outlineLevel="1" x14ac:dyDescent="0.3">
      <c r="C1115" s="37" t="s">
        <v>796</v>
      </c>
      <c r="D1115" s="35" t="s">
        <v>754</v>
      </c>
    </row>
    <row r="1116" spans="3:4" hidden="1" outlineLevel="1" x14ac:dyDescent="0.3">
      <c r="C1116" s="37" t="s">
        <v>797</v>
      </c>
      <c r="D1116" s="35" t="s">
        <v>755</v>
      </c>
    </row>
    <row r="1117" spans="3:4" hidden="1" outlineLevel="1" x14ac:dyDescent="0.3">
      <c r="C1117" s="37" t="s">
        <v>798</v>
      </c>
      <c r="D1117" s="35" t="s">
        <v>756</v>
      </c>
    </row>
    <row r="1118" spans="3:4" hidden="1" outlineLevel="1" x14ac:dyDescent="0.3">
      <c r="C1118" s="37" t="s">
        <v>799</v>
      </c>
      <c r="D1118" s="35" t="s">
        <v>757</v>
      </c>
    </row>
    <row r="1119" spans="3:4" hidden="1" outlineLevel="1" x14ac:dyDescent="0.3">
      <c r="C1119" s="37" t="s">
        <v>800</v>
      </c>
      <c r="D1119" s="35" t="s">
        <v>758</v>
      </c>
    </row>
    <row r="1120" spans="3:4" hidden="1" outlineLevel="1" x14ac:dyDescent="0.3">
      <c r="C1120" s="37" t="s">
        <v>801</v>
      </c>
      <c r="D1120" s="35" t="s">
        <v>759</v>
      </c>
    </row>
    <row r="1121" spans="3:4" hidden="1" outlineLevel="1" x14ac:dyDescent="0.3">
      <c r="C1121" s="37" t="s">
        <v>802</v>
      </c>
      <c r="D1121" s="35" t="s">
        <v>760</v>
      </c>
    </row>
    <row r="1122" spans="3:4" hidden="1" outlineLevel="1" x14ac:dyDescent="0.3">
      <c r="C1122" s="37" t="s">
        <v>803</v>
      </c>
      <c r="D1122" s="35" t="s">
        <v>761</v>
      </c>
    </row>
    <row r="1123" spans="3:4" hidden="1" outlineLevel="1" x14ac:dyDescent="0.3">
      <c r="C1123" s="37" t="s">
        <v>804</v>
      </c>
      <c r="D1123" s="35" t="s">
        <v>762</v>
      </c>
    </row>
    <row r="1124" spans="3:4" hidden="1" outlineLevel="1" x14ac:dyDescent="0.3">
      <c r="C1124" s="37" t="s">
        <v>805</v>
      </c>
      <c r="D1124" s="35" t="s">
        <v>763</v>
      </c>
    </row>
    <row r="1125" spans="3:4" hidden="1" outlineLevel="1" x14ac:dyDescent="0.3">
      <c r="C1125" s="37" t="s">
        <v>806</v>
      </c>
      <c r="D1125" s="35" t="s">
        <v>764</v>
      </c>
    </row>
    <row r="1126" spans="3:4" hidden="1" outlineLevel="1" x14ac:dyDescent="0.3">
      <c r="C1126" s="37" t="s">
        <v>807</v>
      </c>
      <c r="D1126" s="35" t="s">
        <v>765</v>
      </c>
    </row>
    <row r="1127" spans="3:4" hidden="1" outlineLevel="1" x14ac:dyDescent="0.3">
      <c r="C1127" s="37" t="s">
        <v>808</v>
      </c>
      <c r="D1127" s="35" t="s">
        <v>766</v>
      </c>
    </row>
    <row r="1128" spans="3:4" hidden="1" outlineLevel="1" x14ac:dyDescent="0.3">
      <c r="C1128" s="37" t="s">
        <v>809</v>
      </c>
      <c r="D1128" s="35" t="s">
        <v>767</v>
      </c>
    </row>
    <row r="1129" spans="3:4" hidden="1" outlineLevel="1" x14ac:dyDescent="0.3">
      <c r="C1129" s="37" t="s">
        <v>810</v>
      </c>
      <c r="D1129" s="35" t="s">
        <v>768</v>
      </c>
    </row>
    <row r="1130" spans="3:4" hidden="1" outlineLevel="1" x14ac:dyDescent="0.3">
      <c r="C1130" s="37" t="s">
        <v>811</v>
      </c>
      <c r="D1130" s="35" t="s">
        <v>769</v>
      </c>
    </row>
    <row r="1131" spans="3:4" hidden="1" outlineLevel="1" x14ac:dyDescent="0.3">
      <c r="C1131" s="37" t="s">
        <v>812</v>
      </c>
      <c r="D1131" s="35" t="s">
        <v>770</v>
      </c>
    </row>
    <row r="1132" spans="3:4" hidden="1" outlineLevel="1" x14ac:dyDescent="0.3">
      <c r="C1132" s="37" t="s">
        <v>813</v>
      </c>
      <c r="D1132" s="35" t="s">
        <v>771</v>
      </c>
    </row>
    <row r="1133" spans="3:4" hidden="1" outlineLevel="1" x14ac:dyDescent="0.3">
      <c r="C1133" s="37" t="s">
        <v>814</v>
      </c>
      <c r="D1133" s="35" t="s">
        <v>772</v>
      </c>
    </row>
    <row r="1134" spans="3:4" hidden="1" outlineLevel="1" x14ac:dyDescent="0.3">
      <c r="C1134" s="37" t="s">
        <v>815</v>
      </c>
      <c r="D1134" s="35" t="s">
        <v>773</v>
      </c>
    </row>
    <row r="1135" spans="3:4" hidden="1" outlineLevel="1" x14ac:dyDescent="0.3">
      <c r="C1135" s="37" t="s">
        <v>816</v>
      </c>
      <c r="D1135" s="35" t="s">
        <v>774</v>
      </c>
    </row>
    <row r="1136" spans="3:4" hidden="1" outlineLevel="1" x14ac:dyDescent="0.3">
      <c r="C1136" s="37" t="s">
        <v>817</v>
      </c>
      <c r="D1136" s="35" t="s">
        <v>775</v>
      </c>
    </row>
    <row r="1137" spans="2:4" hidden="1" outlineLevel="1" x14ac:dyDescent="0.3">
      <c r="C1137" s="37" t="s">
        <v>818</v>
      </c>
      <c r="D1137" s="35" t="s">
        <v>776</v>
      </c>
    </row>
    <row r="1138" spans="2:4" hidden="1" outlineLevel="1" x14ac:dyDescent="0.3">
      <c r="C1138" s="37" t="s">
        <v>819</v>
      </c>
      <c r="D1138" s="35" t="s">
        <v>777</v>
      </c>
    </row>
    <row r="1139" spans="2:4" collapsed="1" x14ac:dyDescent="0.3">
      <c r="B1139" s="43" t="s">
        <v>129</v>
      </c>
      <c r="C1139" t="s">
        <v>11</v>
      </c>
    </row>
    <row r="1140" spans="2:4" hidden="1" outlineLevel="1" x14ac:dyDescent="0.3">
      <c r="C1140" s="40" t="s">
        <v>779</v>
      </c>
      <c r="D1140" s="35" t="s">
        <v>745</v>
      </c>
    </row>
    <row r="1141" spans="2:4" hidden="1" outlineLevel="1" x14ac:dyDescent="0.3">
      <c r="C1141" s="41" t="s">
        <v>780</v>
      </c>
      <c r="D1141" s="42" t="s">
        <v>820</v>
      </c>
    </row>
    <row r="1142" spans="2:4" hidden="1" outlineLevel="1" x14ac:dyDescent="0.3">
      <c r="C1142" s="40" t="s">
        <v>781</v>
      </c>
      <c r="D1142" s="35" t="s">
        <v>746</v>
      </c>
    </row>
    <row r="1143" spans="2:4" hidden="1" outlineLevel="1" x14ac:dyDescent="0.3">
      <c r="C1143" s="41" t="s">
        <v>782</v>
      </c>
      <c r="D1143" s="35" t="s">
        <v>367</v>
      </c>
    </row>
    <row r="1144" spans="2:4" hidden="1" outlineLevel="1" x14ac:dyDescent="0.3">
      <c r="C1144" s="41" t="s">
        <v>785</v>
      </c>
      <c r="D1144" s="35" t="s">
        <v>68</v>
      </c>
    </row>
    <row r="1145" spans="2:4" hidden="1" outlineLevel="1" x14ac:dyDescent="0.3">
      <c r="C1145" s="41" t="s">
        <v>786</v>
      </c>
      <c r="D1145" s="35" t="s">
        <v>747</v>
      </c>
    </row>
    <row r="1146" spans="2:4" hidden="1" outlineLevel="1" x14ac:dyDescent="0.3">
      <c r="C1146" s="41" t="s">
        <v>783</v>
      </c>
      <c r="D1146" s="35" t="s">
        <v>11</v>
      </c>
    </row>
    <row r="1147" spans="2:4" hidden="1" outlineLevel="1" x14ac:dyDescent="0.3">
      <c r="C1147" s="41" t="s">
        <v>784</v>
      </c>
      <c r="D1147" s="35" t="s">
        <v>125</v>
      </c>
    </row>
    <row r="1148" spans="2:4" hidden="1" outlineLevel="1" x14ac:dyDescent="0.3">
      <c r="C1148" s="41" t="s">
        <v>787</v>
      </c>
      <c r="D1148" s="35" t="s">
        <v>748</v>
      </c>
    </row>
    <row r="1149" spans="2:4" hidden="1" outlineLevel="1" x14ac:dyDescent="0.3">
      <c r="C1149" s="37" t="s">
        <v>788</v>
      </c>
      <c r="D1149" s="35" t="s">
        <v>517</v>
      </c>
    </row>
    <row r="1150" spans="2:4" hidden="1" outlineLevel="1" x14ac:dyDescent="0.3">
      <c r="C1150" s="37" t="s">
        <v>789</v>
      </c>
      <c r="D1150" s="35" t="s">
        <v>386</v>
      </c>
    </row>
    <row r="1151" spans="2:4" hidden="1" outlineLevel="1" x14ac:dyDescent="0.3">
      <c r="C1151" s="37" t="s">
        <v>790</v>
      </c>
      <c r="D1151" s="35" t="s">
        <v>299</v>
      </c>
    </row>
    <row r="1152" spans="2:4" hidden="1" outlineLevel="1" x14ac:dyDescent="0.3">
      <c r="C1152" s="37" t="s">
        <v>791</v>
      </c>
      <c r="D1152" s="35" t="s">
        <v>749</v>
      </c>
    </row>
    <row r="1153" spans="3:4" hidden="1" outlineLevel="1" x14ac:dyDescent="0.3">
      <c r="C1153" s="37" t="s">
        <v>792</v>
      </c>
      <c r="D1153" s="35" t="s">
        <v>750</v>
      </c>
    </row>
    <row r="1154" spans="3:4" hidden="1" outlineLevel="1" x14ac:dyDescent="0.3">
      <c r="C1154" s="37" t="s">
        <v>793</v>
      </c>
      <c r="D1154" s="35" t="s">
        <v>751</v>
      </c>
    </row>
    <row r="1155" spans="3:4" hidden="1" outlineLevel="1" x14ac:dyDescent="0.3">
      <c r="C1155" s="37" t="s">
        <v>794</v>
      </c>
      <c r="D1155" s="35" t="s">
        <v>752</v>
      </c>
    </row>
    <row r="1156" spans="3:4" hidden="1" outlineLevel="1" x14ac:dyDescent="0.3">
      <c r="C1156" s="37" t="s">
        <v>795</v>
      </c>
      <c r="D1156" s="35" t="s">
        <v>753</v>
      </c>
    </row>
    <row r="1157" spans="3:4" hidden="1" outlineLevel="1" x14ac:dyDescent="0.3">
      <c r="C1157" s="37" t="s">
        <v>796</v>
      </c>
      <c r="D1157" s="35" t="s">
        <v>754</v>
      </c>
    </row>
    <row r="1158" spans="3:4" hidden="1" outlineLevel="1" x14ac:dyDescent="0.3">
      <c r="C1158" s="37" t="s">
        <v>797</v>
      </c>
      <c r="D1158" s="35" t="s">
        <v>755</v>
      </c>
    </row>
    <row r="1159" spans="3:4" hidden="1" outlineLevel="1" x14ac:dyDescent="0.3">
      <c r="C1159" s="37" t="s">
        <v>798</v>
      </c>
      <c r="D1159" s="35" t="s">
        <v>756</v>
      </c>
    </row>
    <row r="1160" spans="3:4" hidden="1" outlineLevel="1" x14ac:dyDescent="0.3">
      <c r="C1160" s="37" t="s">
        <v>799</v>
      </c>
      <c r="D1160" s="35" t="s">
        <v>757</v>
      </c>
    </row>
    <row r="1161" spans="3:4" hidden="1" outlineLevel="1" x14ac:dyDescent="0.3">
      <c r="C1161" s="37" t="s">
        <v>800</v>
      </c>
      <c r="D1161" s="35" t="s">
        <v>758</v>
      </c>
    </row>
    <row r="1162" spans="3:4" hidden="1" outlineLevel="1" x14ac:dyDescent="0.3">
      <c r="C1162" s="37" t="s">
        <v>801</v>
      </c>
      <c r="D1162" s="35" t="s">
        <v>759</v>
      </c>
    </row>
    <row r="1163" spans="3:4" hidden="1" outlineLevel="1" x14ac:dyDescent="0.3">
      <c r="C1163" s="37" t="s">
        <v>802</v>
      </c>
      <c r="D1163" s="35" t="s">
        <v>760</v>
      </c>
    </row>
    <row r="1164" spans="3:4" hidden="1" outlineLevel="1" x14ac:dyDescent="0.3">
      <c r="C1164" s="37" t="s">
        <v>803</v>
      </c>
      <c r="D1164" s="35" t="s">
        <v>761</v>
      </c>
    </row>
    <row r="1165" spans="3:4" hidden="1" outlineLevel="1" x14ac:dyDescent="0.3">
      <c r="C1165" s="37" t="s">
        <v>804</v>
      </c>
      <c r="D1165" s="35" t="s">
        <v>762</v>
      </c>
    </row>
    <row r="1166" spans="3:4" hidden="1" outlineLevel="1" x14ac:dyDescent="0.3">
      <c r="C1166" s="37" t="s">
        <v>805</v>
      </c>
      <c r="D1166" s="35" t="s">
        <v>763</v>
      </c>
    </row>
    <row r="1167" spans="3:4" hidden="1" outlineLevel="1" x14ac:dyDescent="0.3">
      <c r="C1167" s="37" t="s">
        <v>806</v>
      </c>
      <c r="D1167" s="35" t="s">
        <v>764</v>
      </c>
    </row>
    <row r="1168" spans="3:4" hidden="1" outlineLevel="1" x14ac:dyDescent="0.3">
      <c r="C1168" s="37" t="s">
        <v>807</v>
      </c>
      <c r="D1168" s="35" t="s">
        <v>765</v>
      </c>
    </row>
    <row r="1169" spans="2:4" hidden="1" outlineLevel="1" x14ac:dyDescent="0.3">
      <c r="C1169" s="37" t="s">
        <v>808</v>
      </c>
      <c r="D1169" s="35" t="s">
        <v>766</v>
      </c>
    </row>
    <row r="1170" spans="2:4" hidden="1" outlineLevel="1" x14ac:dyDescent="0.3">
      <c r="C1170" s="37" t="s">
        <v>809</v>
      </c>
      <c r="D1170" s="35" t="s">
        <v>767</v>
      </c>
    </row>
    <row r="1171" spans="2:4" hidden="1" outlineLevel="1" x14ac:dyDescent="0.3">
      <c r="C1171" s="37" t="s">
        <v>810</v>
      </c>
      <c r="D1171" s="35" t="s">
        <v>768</v>
      </c>
    </row>
    <row r="1172" spans="2:4" hidden="1" outlineLevel="1" x14ac:dyDescent="0.3">
      <c r="C1172" s="37" t="s">
        <v>811</v>
      </c>
      <c r="D1172" s="35" t="s">
        <v>769</v>
      </c>
    </row>
    <row r="1173" spans="2:4" hidden="1" outlineLevel="1" x14ac:dyDescent="0.3">
      <c r="C1173" s="37" t="s">
        <v>812</v>
      </c>
      <c r="D1173" s="35" t="s">
        <v>770</v>
      </c>
    </row>
    <row r="1174" spans="2:4" hidden="1" outlineLevel="1" x14ac:dyDescent="0.3">
      <c r="C1174" s="37" t="s">
        <v>813</v>
      </c>
      <c r="D1174" s="35" t="s">
        <v>771</v>
      </c>
    </row>
    <row r="1175" spans="2:4" hidden="1" outlineLevel="1" x14ac:dyDescent="0.3">
      <c r="C1175" s="37" t="s">
        <v>814</v>
      </c>
      <c r="D1175" s="35" t="s">
        <v>772</v>
      </c>
    </row>
    <row r="1176" spans="2:4" hidden="1" outlineLevel="1" x14ac:dyDescent="0.3">
      <c r="C1176" s="37" t="s">
        <v>815</v>
      </c>
      <c r="D1176" s="35" t="s">
        <v>773</v>
      </c>
    </row>
    <row r="1177" spans="2:4" hidden="1" outlineLevel="1" x14ac:dyDescent="0.3">
      <c r="C1177" s="37" t="s">
        <v>816</v>
      </c>
      <c r="D1177" s="35" t="s">
        <v>774</v>
      </c>
    </row>
    <row r="1178" spans="2:4" hidden="1" outlineLevel="1" x14ac:dyDescent="0.3">
      <c r="C1178" s="37" t="s">
        <v>817</v>
      </c>
      <c r="D1178" s="35" t="s">
        <v>775</v>
      </c>
    </row>
    <row r="1179" spans="2:4" hidden="1" outlineLevel="1" x14ac:dyDescent="0.3">
      <c r="C1179" s="37" t="s">
        <v>818</v>
      </c>
      <c r="D1179" s="35" t="s">
        <v>776</v>
      </c>
    </row>
    <row r="1180" spans="2:4" hidden="1" outlineLevel="1" x14ac:dyDescent="0.3">
      <c r="C1180" s="37" t="s">
        <v>819</v>
      </c>
      <c r="D1180" s="35" t="s">
        <v>777</v>
      </c>
    </row>
    <row r="1181" spans="2:4" collapsed="1" x14ac:dyDescent="0.3">
      <c r="B1181" s="43" t="s">
        <v>555</v>
      </c>
      <c r="C1181" t="s">
        <v>249</v>
      </c>
    </row>
    <row r="1182" spans="2:4" hidden="1" outlineLevel="1" x14ac:dyDescent="0.3">
      <c r="C1182" s="40" t="s">
        <v>779</v>
      </c>
      <c r="D1182" s="35" t="s">
        <v>745</v>
      </c>
    </row>
    <row r="1183" spans="2:4" hidden="1" outlineLevel="1" x14ac:dyDescent="0.3">
      <c r="C1183" s="41" t="s">
        <v>780</v>
      </c>
      <c r="D1183" s="42" t="s">
        <v>820</v>
      </c>
    </row>
    <row r="1184" spans="2:4" hidden="1" outlineLevel="1" x14ac:dyDescent="0.3">
      <c r="C1184" s="40" t="s">
        <v>781</v>
      </c>
      <c r="D1184" s="35" t="s">
        <v>746</v>
      </c>
    </row>
    <row r="1185" spans="3:4" hidden="1" outlineLevel="1" x14ac:dyDescent="0.3">
      <c r="C1185" s="41" t="s">
        <v>782</v>
      </c>
      <c r="D1185" s="35" t="s">
        <v>367</v>
      </c>
    </row>
    <row r="1186" spans="3:4" hidden="1" outlineLevel="1" x14ac:dyDescent="0.3">
      <c r="C1186" s="41" t="s">
        <v>785</v>
      </c>
      <c r="D1186" s="35" t="s">
        <v>68</v>
      </c>
    </row>
    <row r="1187" spans="3:4" hidden="1" outlineLevel="1" x14ac:dyDescent="0.3">
      <c r="C1187" s="41" t="s">
        <v>786</v>
      </c>
      <c r="D1187" s="35" t="s">
        <v>747</v>
      </c>
    </row>
    <row r="1188" spans="3:4" hidden="1" outlineLevel="1" x14ac:dyDescent="0.3">
      <c r="C1188" s="41" t="s">
        <v>783</v>
      </c>
      <c r="D1188" s="35" t="s">
        <v>11</v>
      </c>
    </row>
    <row r="1189" spans="3:4" hidden="1" outlineLevel="1" x14ac:dyDescent="0.3">
      <c r="C1189" s="41" t="s">
        <v>784</v>
      </c>
      <c r="D1189" s="35" t="s">
        <v>125</v>
      </c>
    </row>
    <row r="1190" spans="3:4" hidden="1" outlineLevel="1" x14ac:dyDescent="0.3">
      <c r="C1190" s="41" t="s">
        <v>787</v>
      </c>
      <c r="D1190" s="35" t="s">
        <v>748</v>
      </c>
    </row>
    <row r="1191" spans="3:4" hidden="1" outlineLevel="1" x14ac:dyDescent="0.3">
      <c r="C1191" s="37" t="s">
        <v>788</v>
      </c>
      <c r="D1191" s="35" t="s">
        <v>517</v>
      </c>
    </row>
    <row r="1192" spans="3:4" hidden="1" outlineLevel="1" x14ac:dyDescent="0.3">
      <c r="C1192" s="37" t="s">
        <v>789</v>
      </c>
      <c r="D1192" s="35" t="s">
        <v>386</v>
      </c>
    </row>
    <row r="1193" spans="3:4" hidden="1" outlineLevel="1" x14ac:dyDescent="0.3">
      <c r="C1193" s="37" t="s">
        <v>790</v>
      </c>
      <c r="D1193" s="35" t="s">
        <v>299</v>
      </c>
    </row>
    <row r="1194" spans="3:4" hidden="1" outlineLevel="1" x14ac:dyDescent="0.3">
      <c r="C1194" s="37" t="s">
        <v>791</v>
      </c>
      <c r="D1194" s="35" t="s">
        <v>749</v>
      </c>
    </row>
    <row r="1195" spans="3:4" hidden="1" outlineLevel="1" x14ac:dyDescent="0.3">
      <c r="C1195" s="37" t="s">
        <v>792</v>
      </c>
      <c r="D1195" s="35" t="s">
        <v>750</v>
      </c>
    </row>
    <row r="1196" spans="3:4" hidden="1" outlineLevel="1" x14ac:dyDescent="0.3">
      <c r="C1196" s="37" t="s">
        <v>793</v>
      </c>
      <c r="D1196" s="35" t="s">
        <v>751</v>
      </c>
    </row>
    <row r="1197" spans="3:4" hidden="1" outlineLevel="1" x14ac:dyDescent="0.3">
      <c r="C1197" s="37" t="s">
        <v>794</v>
      </c>
      <c r="D1197" s="35" t="s">
        <v>752</v>
      </c>
    </row>
    <row r="1198" spans="3:4" hidden="1" outlineLevel="1" x14ac:dyDescent="0.3">
      <c r="C1198" s="37" t="s">
        <v>795</v>
      </c>
      <c r="D1198" s="35" t="s">
        <v>753</v>
      </c>
    </row>
    <row r="1199" spans="3:4" hidden="1" outlineLevel="1" x14ac:dyDescent="0.3">
      <c r="C1199" s="37" t="s">
        <v>796</v>
      </c>
      <c r="D1199" s="35" t="s">
        <v>754</v>
      </c>
    </row>
    <row r="1200" spans="3:4" hidden="1" outlineLevel="1" x14ac:dyDescent="0.3">
      <c r="C1200" s="37" t="s">
        <v>797</v>
      </c>
      <c r="D1200" s="35" t="s">
        <v>755</v>
      </c>
    </row>
    <row r="1201" spans="3:4" hidden="1" outlineLevel="1" x14ac:dyDescent="0.3">
      <c r="C1201" s="37" t="s">
        <v>798</v>
      </c>
      <c r="D1201" s="35" t="s">
        <v>756</v>
      </c>
    </row>
    <row r="1202" spans="3:4" hidden="1" outlineLevel="1" x14ac:dyDescent="0.3">
      <c r="C1202" s="37" t="s">
        <v>799</v>
      </c>
      <c r="D1202" s="35" t="s">
        <v>757</v>
      </c>
    </row>
    <row r="1203" spans="3:4" hidden="1" outlineLevel="1" x14ac:dyDescent="0.3">
      <c r="C1203" s="37" t="s">
        <v>800</v>
      </c>
      <c r="D1203" s="35" t="s">
        <v>758</v>
      </c>
    </row>
    <row r="1204" spans="3:4" hidden="1" outlineLevel="1" x14ac:dyDescent="0.3">
      <c r="C1204" s="37" t="s">
        <v>801</v>
      </c>
      <c r="D1204" s="35" t="s">
        <v>759</v>
      </c>
    </row>
    <row r="1205" spans="3:4" hidden="1" outlineLevel="1" x14ac:dyDescent="0.3">
      <c r="C1205" s="37" t="s">
        <v>802</v>
      </c>
      <c r="D1205" s="35" t="s">
        <v>760</v>
      </c>
    </row>
    <row r="1206" spans="3:4" hidden="1" outlineLevel="1" x14ac:dyDescent="0.3">
      <c r="C1206" s="37" t="s">
        <v>803</v>
      </c>
      <c r="D1206" s="35" t="s">
        <v>761</v>
      </c>
    </row>
    <row r="1207" spans="3:4" hidden="1" outlineLevel="1" x14ac:dyDescent="0.3">
      <c r="C1207" s="37" t="s">
        <v>804</v>
      </c>
      <c r="D1207" s="35" t="s">
        <v>762</v>
      </c>
    </row>
    <row r="1208" spans="3:4" hidden="1" outlineLevel="1" x14ac:dyDescent="0.3">
      <c r="C1208" s="37" t="s">
        <v>805</v>
      </c>
      <c r="D1208" s="35" t="s">
        <v>763</v>
      </c>
    </row>
    <row r="1209" spans="3:4" hidden="1" outlineLevel="1" x14ac:dyDescent="0.3">
      <c r="C1209" s="37" t="s">
        <v>806</v>
      </c>
      <c r="D1209" s="35" t="s">
        <v>764</v>
      </c>
    </row>
    <row r="1210" spans="3:4" hidden="1" outlineLevel="1" x14ac:dyDescent="0.3">
      <c r="C1210" s="37" t="s">
        <v>807</v>
      </c>
      <c r="D1210" s="35" t="s">
        <v>765</v>
      </c>
    </row>
    <row r="1211" spans="3:4" hidden="1" outlineLevel="1" x14ac:dyDescent="0.3">
      <c r="C1211" s="37" t="s">
        <v>808</v>
      </c>
      <c r="D1211" s="35" t="s">
        <v>766</v>
      </c>
    </row>
    <row r="1212" spans="3:4" hidden="1" outlineLevel="1" x14ac:dyDescent="0.3">
      <c r="C1212" s="37" t="s">
        <v>809</v>
      </c>
      <c r="D1212" s="35" t="s">
        <v>767</v>
      </c>
    </row>
    <row r="1213" spans="3:4" hidden="1" outlineLevel="1" x14ac:dyDescent="0.3">
      <c r="C1213" s="37" t="s">
        <v>810</v>
      </c>
      <c r="D1213" s="35" t="s">
        <v>768</v>
      </c>
    </row>
    <row r="1214" spans="3:4" hidden="1" outlineLevel="1" x14ac:dyDescent="0.3">
      <c r="C1214" s="37" t="s">
        <v>811</v>
      </c>
      <c r="D1214" s="35" t="s">
        <v>769</v>
      </c>
    </row>
    <row r="1215" spans="3:4" hidden="1" outlineLevel="1" x14ac:dyDescent="0.3">
      <c r="C1215" s="37" t="s">
        <v>812</v>
      </c>
      <c r="D1215" s="35" t="s">
        <v>770</v>
      </c>
    </row>
    <row r="1216" spans="3:4" hidden="1" outlineLevel="1" x14ac:dyDescent="0.3">
      <c r="C1216" s="37" t="s">
        <v>813</v>
      </c>
      <c r="D1216" s="35" t="s">
        <v>771</v>
      </c>
    </row>
    <row r="1217" spans="2:4" hidden="1" outlineLevel="1" x14ac:dyDescent="0.3">
      <c r="C1217" s="37" t="s">
        <v>814</v>
      </c>
      <c r="D1217" s="35" t="s">
        <v>772</v>
      </c>
    </row>
    <row r="1218" spans="2:4" hidden="1" outlineLevel="1" x14ac:dyDescent="0.3">
      <c r="C1218" s="37" t="s">
        <v>815</v>
      </c>
      <c r="D1218" s="35" t="s">
        <v>773</v>
      </c>
    </row>
    <row r="1219" spans="2:4" hidden="1" outlineLevel="1" x14ac:dyDescent="0.3">
      <c r="C1219" s="37" t="s">
        <v>816</v>
      </c>
      <c r="D1219" s="35" t="s">
        <v>774</v>
      </c>
    </row>
    <row r="1220" spans="2:4" hidden="1" outlineLevel="1" x14ac:dyDescent="0.3">
      <c r="C1220" s="37" t="s">
        <v>817</v>
      </c>
      <c r="D1220" s="35" t="s">
        <v>775</v>
      </c>
    </row>
    <row r="1221" spans="2:4" hidden="1" outlineLevel="1" x14ac:dyDescent="0.3">
      <c r="C1221" s="37" t="s">
        <v>818</v>
      </c>
      <c r="D1221" s="35" t="s">
        <v>776</v>
      </c>
    </row>
    <row r="1222" spans="2:4" hidden="1" outlineLevel="1" x14ac:dyDescent="0.3">
      <c r="C1222" s="37" t="s">
        <v>819</v>
      </c>
      <c r="D1222" s="35" t="s">
        <v>777</v>
      </c>
    </row>
    <row r="1223" spans="2:4" collapsed="1" x14ac:dyDescent="0.3">
      <c r="B1223" s="43" t="s">
        <v>547</v>
      </c>
      <c r="C1223" t="s">
        <v>592</v>
      </c>
    </row>
    <row r="1224" spans="2:4" hidden="1" outlineLevel="1" x14ac:dyDescent="0.3">
      <c r="C1224" s="40" t="s">
        <v>779</v>
      </c>
      <c r="D1224" s="35" t="s">
        <v>745</v>
      </c>
    </row>
    <row r="1225" spans="2:4" hidden="1" outlineLevel="1" x14ac:dyDescent="0.3">
      <c r="C1225" s="41" t="s">
        <v>780</v>
      </c>
      <c r="D1225" s="42" t="s">
        <v>820</v>
      </c>
    </row>
    <row r="1226" spans="2:4" hidden="1" outlineLevel="1" x14ac:dyDescent="0.3">
      <c r="C1226" s="40" t="s">
        <v>781</v>
      </c>
      <c r="D1226" s="35" t="s">
        <v>746</v>
      </c>
    </row>
    <row r="1227" spans="2:4" hidden="1" outlineLevel="1" x14ac:dyDescent="0.3">
      <c r="C1227" s="41" t="s">
        <v>782</v>
      </c>
      <c r="D1227" s="35" t="s">
        <v>367</v>
      </c>
    </row>
    <row r="1228" spans="2:4" hidden="1" outlineLevel="1" x14ac:dyDescent="0.3">
      <c r="C1228" s="41" t="s">
        <v>785</v>
      </c>
      <c r="D1228" s="35" t="s">
        <v>68</v>
      </c>
    </row>
    <row r="1229" spans="2:4" hidden="1" outlineLevel="1" x14ac:dyDescent="0.3">
      <c r="C1229" s="41" t="s">
        <v>786</v>
      </c>
      <c r="D1229" s="35" t="s">
        <v>747</v>
      </c>
    </row>
    <row r="1230" spans="2:4" hidden="1" outlineLevel="1" x14ac:dyDescent="0.3">
      <c r="C1230" s="41" t="s">
        <v>783</v>
      </c>
      <c r="D1230" s="35" t="s">
        <v>11</v>
      </c>
    </row>
    <row r="1231" spans="2:4" hidden="1" outlineLevel="1" x14ac:dyDescent="0.3">
      <c r="C1231" s="41" t="s">
        <v>784</v>
      </c>
      <c r="D1231" s="35" t="s">
        <v>125</v>
      </c>
    </row>
    <row r="1232" spans="2:4" hidden="1" outlineLevel="1" x14ac:dyDescent="0.3">
      <c r="C1232" s="41" t="s">
        <v>787</v>
      </c>
      <c r="D1232" s="35" t="s">
        <v>748</v>
      </c>
    </row>
    <row r="1233" spans="3:4" hidden="1" outlineLevel="1" x14ac:dyDescent="0.3">
      <c r="C1233" s="37" t="s">
        <v>788</v>
      </c>
      <c r="D1233" s="35" t="s">
        <v>517</v>
      </c>
    </row>
    <row r="1234" spans="3:4" hidden="1" outlineLevel="1" x14ac:dyDescent="0.3">
      <c r="C1234" s="37" t="s">
        <v>789</v>
      </c>
      <c r="D1234" s="35" t="s">
        <v>386</v>
      </c>
    </row>
    <row r="1235" spans="3:4" hidden="1" outlineLevel="1" x14ac:dyDescent="0.3">
      <c r="C1235" s="37" t="s">
        <v>790</v>
      </c>
      <c r="D1235" s="35" t="s">
        <v>299</v>
      </c>
    </row>
    <row r="1236" spans="3:4" hidden="1" outlineLevel="1" x14ac:dyDescent="0.3">
      <c r="C1236" s="37" t="s">
        <v>791</v>
      </c>
      <c r="D1236" s="35" t="s">
        <v>749</v>
      </c>
    </row>
    <row r="1237" spans="3:4" hidden="1" outlineLevel="1" x14ac:dyDescent="0.3">
      <c r="C1237" s="37" t="s">
        <v>792</v>
      </c>
      <c r="D1237" s="35" t="s">
        <v>750</v>
      </c>
    </row>
    <row r="1238" spans="3:4" hidden="1" outlineLevel="1" x14ac:dyDescent="0.3">
      <c r="C1238" s="37" t="s">
        <v>793</v>
      </c>
      <c r="D1238" s="35" t="s">
        <v>751</v>
      </c>
    </row>
    <row r="1239" spans="3:4" hidden="1" outlineLevel="1" x14ac:dyDescent="0.3">
      <c r="C1239" s="37" t="s">
        <v>794</v>
      </c>
      <c r="D1239" s="35" t="s">
        <v>752</v>
      </c>
    </row>
    <row r="1240" spans="3:4" hidden="1" outlineLevel="1" x14ac:dyDescent="0.3">
      <c r="C1240" s="37" t="s">
        <v>795</v>
      </c>
      <c r="D1240" s="35" t="s">
        <v>753</v>
      </c>
    </row>
    <row r="1241" spans="3:4" hidden="1" outlineLevel="1" x14ac:dyDescent="0.3">
      <c r="C1241" s="37" t="s">
        <v>796</v>
      </c>
      <c r="D1241" s="35" t="s">
        <v>754</v>
      </c>
    </row>
    <row r="1242" spans="3:4" hidden="1" outlineLevel="1" x14ac:dyDescent="0.3">
      <c r="C1242" s="37" t="s">
        <v>797</v>
      </c>
      <c r="D1242" s="35" t="s">
        <v>755</v>
      </c>
    </row>
    <row r="1243" spans="3:4" hidden="1" outlineLevel="1" x14ac:dyDescent="0.3">
      <c r="C1243" s="37" t="s">
        <v>798</v>
      </c>
      <c r="D1243" s="35" t="s">
        <v>756</v>
      </c>
    </row>
    <row r="1244" spans="3:4" hidden="1" outlineLevel="1" x14ac:dyDescent="0.3">
      <c r="C1244" s="37" t="s">
        <v>799</v>
      </c>
      <c r="D1244" s="35" t="s">
        <v>757</v>
      </c>
    </row>
    <row r="1245" spans="3:4" hidden="1" outlineLevel="1" x14ac:dyDescent="0.3">
      <c r="C1245" s="37" t="s">
        <v>800</v>
      </c>
      <c r="D1245" s="35" t="s">
        <v>758</v>
      </c>
    </row>
    <row r="1246" spans="3:4" hidden="1" outlineLevel="1" x14ac:dyDescent="0.3">
      <c r="C1246" s="37" t="s">
        <v>801</v>
      </c>
      <c r="D1246" s="35" t="s">
        <v>759</v>
      </c>
    </row>
    <row r="1247" spans="3:4" hidden="1" outlineLevel="1" x14ac:dyDescent="0.3">
      <c r="C1247" s="37" t="s">
        <v>802</v>
      </c>
      <c r="D1247" s="35" t="s">
        <v>760</v>
      </c>
    </row>
    <row r="1248" spans="3:4" hidden="1" outlineLevel="1" x14ac:dyDescent="0.3">
      <c r="C1248" s="37" t="s">
        <v>803</v>
      </c>
      <c r="D1248" s="35" t="s">
        <v>761</v>
      </c>
    </row>
    <row r="1249" spans="3:4" hidden="1" outlineLevel="1" x14ac:dyDescent="0.3">
      <c r="C1249" s="37" t="s">
        <v>804</v>
      </c>
      <c r="D1249" s="35" t="s">
        <v>762</v>
      </c>
    </row>
    <row r="1250" spans="3:4" hidden="1" outlineLevel="1" x14ac:dyDescent="0.3">
      <c r="C1250" s="37" t="s">
        <v>805</v>
      </c>
      <c r="D1250" s="35" t="s">
        <v>763</v>
      </c>
    </row>
    <row r="1251" spans="3:4" hidden="1" outlineLevel="1" x14ac:dyDescent="0.3">
      <c r="C1251" s="37" t="s">
        <v>806</v>
      </c>
      <c r="D1251" s="35" t="s">
        <v>764</v>
      </c>
    </row>
    <row r="1252" spans="3:4" hidden="1" outlineLevel="1" x14ac:dyDescent="0.3">
      <c r="C1252" s="37" t="s">
        <v>807</v>
      </c>
      <c r="D1252" s="35" t="s">
        <v>765</v>
      </c>
    </row>
    <row r="1253" spans="3:4" hidden="1" outlineLevel="1" x14ac:dyDescent="0.3">
      <c r="C1253" s="37" t="s">
        <v>808</v>
      </c>
      <c r="D1253" s="35" t="s">
        <v>766</v>
      </c>
    </row>
    <row r="1254" spans="3:4" hidden="1" outlineLevel="1" x14ac:dyDescent="0.3">
      <c r="C1254" s="37" t="s">
        <v>809</v>
      </c>
      <c r="D1254" s="35" t="s">
        <v>767</v>
      </c>
    </row>
    <row r="1255" spans="3:4" hidden="1" outlineLevel="1" x14ac:dyDescent="0.3">
      <c r="C1255" s="37" t="s">
        <v>810</v>
      </c>
      <c r="D1255" s="35" t="s">
        <v>768</v>
      </c>
    </row>
    <row r="1256" spans="3:4" hidden="1" outlineLevel="1" x14ac:dyDescent="0.3">
      <c r="C1256" s="37" t="s">
        <v>811</v>
      </c>
      <c r="D1256" s="35" t="s">
        <v>769</v>
      </c>
    </row>
    <row r="1257" spans="3:4" hidden="1" outlineLevel="1" x14ac:dyDescent="0.3">
      <c r="C1257" s="37" t="s">
        <v>812</v>
      </c>
      <c r="D1257" s="35" t="s">
        <v>770</v>
      </c>
    </row>
    <row r="1258" spans="3:4" hidden="1" outlineLevel="1" x14ac:dyDescent="0.3">
      <c r="C1258" s="37" t="s">
        <v>813</v>
      </c>
      <c r="D1258" s="35" t="s">
        <v>771</v>
      </c>
    </row>
    <row r="1259" spans="3:4" hidden="1" outlineLevel="1" x14ac:dyDescent="0.3">
      <c r="C1259" s="37" t="s">
        <v>814</v>
      </c>
      <c r="D1259" s="35" t="s">
        <v>772</v>
      </c>
    </row>
    <row r="1260" spans="3:4" hidden="1" outlineLevel="1" x14ac:dyDescent="0.3">
      <c r="C1260" s="37" t="s">
        <v>815</v>
      </c>
      <c r="D1260" s="35" t="s">
        <v>773</v>
      </c>
    </row>
    <row r="1261" spans="3:4" hidden="1" outlineLevel="1" x14ac:dyDescent="0.3">
      <c r="C1261" s="37" t="s">
        <v>816</v>
      </c>
      <c r="D1261" s="35" t="s">
        <v>774</v>
      </c>
    </row>
    <row r="1262" spans="3:4" hidden="1" outlineLevel="1" x14ac:dyDescent="0.3">
      <c r="C1262" s="37" t="s">
        <v>817</v>
      </c>
      <c r="D1262" s="35" t="s">
        <v>775</v>
      </c>
    </row>
    <row r="1263" spans="3:4" hidden="1" outlineLevel="1" x14ac:dyDescent="0.3">
      <c r="C1263" s="37" t="s">
        <v>818</v>
      </c>
      <c r="D1263" s="35" t="s">
        <v>776</v>
      </c>
    </row>
    <row r="1264" spans="3:4" hidden="1" outlineLevel="1" x14ac:dyDescent="0.3">
      <c r="C1264" s="37" t="s">
        <v>819</v>
      </c>
      <c r="D1264" s="35" t="s">
        <v>777</v>
      </c>
    </row>
    <row r="1265" spans="2:4" collapsed="1" x14ac:dyDescent="0.3">
      <c r="B1265" s="43" t="s">
        <v>542</v>
      </c>
      <c r="C1265" t="s">
        <v>249</v>
      </c>
    </row>
    <row r="1266" spans="2:4" hidden="1" outlineLevel="1" x14ac:dyDescent="0.3">
      <c r="C1266" s="40" t="s">
        <v>779</v>
      </c>
      <c r="D1266" s="35" t="s">
        <v>745</v>
      </c>
    </row>
    <row r="1267" spans="2:4" hidden="1" outlineLevel="1" x14ac:dyDescent="0.3">
      <c r="C1267" s="41" t="s">
        <v>780</v>
      </c>
      <c r="D1267" s="42" t="s">
        <v>820</v>
      </c>
    </row>
    <row r="1268" spans="2:4" hidden="1" outlineLevel="1" x14ac:dyDescent="0.3">
      <c r="C1268" s="40" t="s">
        <v>781</v>
      </c>
      <c r="D1268" s="35" t="s">
        <v>746</v>
      </c>
    </row>
    <row r="1269" spans="2:4" hidden="1" outlineLevel="1" x14ac:dyDescent="0.3">
      <c r="C1269" s="41" t="s">
        <v>782</v>
      </c>
      <c r="D1269" s="35" t="s">
        <v>367</v>
      </c>
    </row>
    <row r="1270" spans="2:4" hidden="1" outlineLevel="1" x14ac:dyDescent="0.3">
      <c r="C1270" s="41" t="s">
        <v>785</v>
      </c>
      <c r="D1270" s="35" t="s">
        <v>68</v>
      </c>
    </row>
    <row r="1271" spans="2:4" hidden="1" outlineLevel="1" x14ac:dyDescent="0.3">
      <c r="C1271" s="41" t="s">
        <v>786</v>
      </c>
      <c r="D1271" s="35" t="s">
        <v>747</v>
      </c>
    </row>
    <row r="1272" spans="2:4" hidden="1" outlineLevel="1" x14ac:dyDescent="0.3">
      <c r="C1272" s="41" t="s">
        <v>783</v>
      </c>
      <c r="D1272" s="35" t="s">
        <v>11</v>
      </c>
    </row>
    <row r="1273" spans="2:4" hidden="1" outlineLevel="1" x14ac:dyDescent="0.3">
      <c r="C1273" s="41" t="s">
        <v>784</v>
      </c>
      <c r="D1273" s="35" t="s">
        <v>125</v>
      </c>
    </row>
    <row r="1274" spans="2:4" hidden="1" outlineLevel="1" x14ac:dyDescent="0.3">
      <c r="C1274" s="41" t="s">
        <v>787</v>
      </c>
      <c r="D1274" s="35" t="s">
        <v>748</v>
      </c>
    </row>
    <row r="1275" spans="2:4" hidden="1" outlineLevel="1" x14ac:dyDescent="0.3">
      <c r="C1275" s="37" t="s">
        <v>788</v>
      </c>
      <c r="D1275" s="35" t="s">
        <v>517</v>
      </c>
    </row>
    <row r="1276" spans="2:4" hidden="1" outlineLevel="1" x14ac:dyDescent="0.3">
      <c r="C1276" s="37" t="s">
        <v>789</v>
      </c>
      <c r="D1276" s="35" t="s">
        <v>386</v>
      </c>
    </row>
    <row r="1277" spans="2:4" hidden="1" outlineLevel="1" x14ac:dyDescent="0.3">
      <c r="C1277" s="37" t="s">
        <v>790</v>
      </c>
      <c r="D1277" s="35" t="s">
        <v>299</v>
      </c>
    </row>
    <row r="1278" spans="2:4" hidden="1" outlineLevel="1" x14ac:dyDescent="0.3">
      <c r="C1278" s="37" t="s">
        <v>791</v>
      </c>
      <c r="D1278" s="35" t="s">
        <v>749</v>
      </c>
    </row>
    <row r="1279" spans="2:4" hidden="1" outlineLevel="1" x14ac:dyDescent="0.3">
      <c r="C1279" s="37" t="s">
        <v>792</v>
      </c>
      <c r="D1279" s="35" t="s">
        <v>750</v>
      </c>
    </row>
    <row r="1280" spans="2:4" hidden="1" outlineLevel="1" x14ac:dyDescent="0.3">
      <c r="C1280" s="37" t="s">
        <v>793</v>
      </c>
      <c r="D1280" s="35" t="s">
        <v>751</v>
      </c>
    </row>
    <row r="1281" spans="3:4" hidden="1" outlineLevel="1" x14ac:dyDescent="0.3">
      <c r="C1281" s="37" t="s">
        <v>794</v>
      </c>
      <c r="D1281" s="35" t="s">
        <v>752</v>
      </c>
    </row>
    <row r="1282" spans="3:4" hidden="1" outlineLevel="1" x14ac:dyDescent="0.3">
      <c r="C1282" s="37" t="s">
        <v>795</v>
      </c>
      <c r="D1282" s="35" t="s">
        <v>753</v>
      </c>
    </row>
    <row r="1283" spans="3:4" hidden="1" outlineLevel="1" x14ac:dyDescent="0.3">
      <c r="C1283" s="37" t="s">
        <v>796</v>
      </c>
      <c r="D1283" s="35" t="s">
        <v>754</v>
      </c>
    </row>
    <row r="1284" spans="3:4" hidden="1" outlineLevel="1" x14ac:dyDescent="0.3">
      <c r="C1284" s="37" t="s">
        <v>797</v>
      </c>
      <c r="D1284" s="35" t="s">
        <v>755</v>
      </c>
    </row>
    <row r="1285" spans="3:4" hidden="1" outlineLevel="1" x14ac:dyDescent="0.3">
      <c r="C1285" s="37" t="s">
        <v>798</v>
      </c>
      <c r="D1285" s="35" t="s">
        <v>756</v>
      </c>
    </row>
    <row r="1286" spans="3:4" hidden="1" outlineLevel="1" x14ac:dyDescent="0.3">
      <c r="C1286" s="37" t="s">
        <v>799</v>
      </c>
      <c r="D1286" s="35" t="s">
        <v>757</v>
      </c>
    </row>
    <row r="1287" spans="3:4" hidden="1" outlineLevel="1" x14ac:dyDescent="0.3">
      <c r="C1287" s="37" t="s">
        <v>800</v>
      </c>
      <c r="D1287" s="35" t="s">
        <v>758</v>
      </c>
    </row>
    <row r="1288" spans="3:4" hidden="1" outlineLevel="1" x14ac:dyDescent="0.3">
      <c r="C1288" s="37" t="s">
        <v>801</v>
      </c>
      <c r="D1288" s="35" t="s">
        <v>759</v>
      </c>
    </row>
    <row r="1289" spans="3:4" hidden="1" outlineLevel="1" x14ac:dyDescent="0.3">
      <c r="C1289" s="37" t="s">
        <v>802</v>
      </c>
      <c r="D1289" s="35" t="s">
        <v>760</v>
      </c>
    </row>
    <row r="1290" spans="3:4" hidden="1" outlineLevel="1" x14ac:dyDescent="0.3">
      <c r="C1290" s="37" t="s">
        <v>803</v>
      </c>
      <c r="D1290" s="35" t="s">
        <v>761</v>
      </c>
    </row>
    <row r="1291" spans="3:4" hidden="1" outlineLevel="1" x14ac:dyDescent="0.3">
      <c r="C1291" s="37" t="s">
        <v>804</v>
      </c>
      <c r="D1291" s="35" t="s">
        <v>762</v>
      </c>
    </row>
    <row r="1292" spans="3:4" hidden="1" outlineLevel="1" x14ac:dyDescent="0.3">
      <c r="C1292" s="37" t="s">
        <v>805</v>
      </c>
      <c r="D1292" s="35" t="s">
        <v>763</v>
      </c>
    </row>
    <row r="1293" spans="3:4" hidden="1" outlineLevel="1" x14ac:dyDescent="0.3">
      <c r="C1293" s="37" t="s">
        <v>806</v>
      </c>
      <c r="D1293" s="35" t="s">
        <v>764</v>
      </c>
    </row>
    <row r="1294" spans="3:4" hidden="1" outlineLevel="1" x14ac:dyDescent="0.3">
      <c r="C1294" s="37" t="s">
        <v>807</v>
      </c>
      <c r="D1294" s="35" t="s">
        <v>765</v>
      </c>
    </row>
    <row r="1295" spans="3:4" hidden="1" outlineLevel="1" x14ac:dyDescent="0.3">
      <c r="C1295" s="37" t="s">
        <v>808</v>
      </c>
      <c r="D1295" s="35" t="s">
        <v>766</v>
      </c>
    </row>
    <row r="1296" spans="3:4" hidden="1" outlineLevel="1" x14ac:dyDescent="0.3">
      <c r="C1296" s="37" t="s">
        <v>809</v>
      </c>
      <c r="D1296" s="35" t="s">
        <v>767</v>
      </c>
    </row>
    <row r="1297" spans="2:4" hidden="1" outlineLevel="1" x14ac:dyDescent="0.3">
      <c r="C1297" s="37" t="s">
        <v>810</v>
      </c>
      <c r="D1297" s="35" t="s">
        <v>768</v>
      </c>
    </row>
    <row r="1298" spans="2:4" hidden="1" outlineLevel="1" x14ac:dyDescent="0.3">
      <c r="C1298" s="37" t="s">
        <v>811</v>
      </c>
      <c r="D1298" s="35" t="s">
        <v>769</v>
      </c>
    </row>
    <row r="1299" spans="2:4" hidden="1" outlineLevel="1" x14ac:dyDescent="0.3">
      <c r="C1299" s="37" t="s">
        <v>812</v>
      </c>
      <c r="D1299" s="35" t="s">
        <v>770</v>
      </c>
    </row>
    <row r="1300" spans="2:4" hidden="1" outlineLevel="1" x14ac:dyDescent="0.3">
      <c r="C1300" s="37" t="s">
        <v>813</v>
      </c>
      <c r="D1300" s="35" t="s">
        <v>771</v>
      </c>
    </row>
    <row r="1301" spans="2:4" hidden="1" outlineLevel="1" x14ac:dyDescent="0.3">
      <c r="C1301" s="37" t="s">
        <v>814</v>
      </c>
      <c r="D1301" s="35" t="s">
        <v>772</v>
      </c>
    </row>
    <row r="1302" spans="2:4" hidden="1" outlineLevel="1" x14ac:dyDescent="0.3">
      <c r="C1302" s="37" t="s">
        <v>815</v>
      </c>
      <c r="D1302" s="35" t="s">
        <v>773</v>
      </c>
    </row>
    <row r="1303" spans="2:4" hidden="1" outlineLevel="1" x14ac:dyDescent="0.3">
      <c r="C1303" s="37" t="s">
        <v>816</v>
      </c>
      <c r="D1303" s="35" t="s">
        <v>774</v>
      </c>
    </row>
    <row r="1304" spans="2:4" hidden="1" outlineLevel="1" x14ac:dyDescent="0.3">
      <c r="C1304" s="37" t="s">
        <v>817</v>
      </c>
      <c r="D1304" s="35" t="s">
        <v>775</v>
      </c>
    </row>
    <row r="1305" spans="2:4" hidden="1" outlineLevel="1" x14ac:dyDescent="0.3">
      <c r="C1305" s="37" t="s">
        <v>818</v>
      </c>
      <c r="D1305" s="35" t="s">
        <v>776</v>
      </c>
    </row>
    <row r="1306" spans="2:4" hidden="1" outlineLevel="1" x14ac:dyDescent="0.3">
      <c r="C1306" s="37" t="s">
        <v>819</v>
      </c>
      <c r="D1306" s="35" t="s">
        <v>777</v>
      </c>
    </row>
    <row r="1307" spans="2:4" collapsed="1" x14ac:dyDescent="0.3">
      <c r="B1307" s="43" t="s">
        <v>264</v>
      </c>
      <c r="C1307" t="s">
        <v>18</v>
      </c>
    </row>
    <row r="1308" spans="2:4" hidden="1" outlineLevel="1" x14ac:dyDescent="0.3">
      <c r="C1308" s="40" t="s">
        <v>779</v>
      </c>
      <c r="D1308" s="35" t="s">
        <v>745</v>
      </c>
    </row>
    <row r="1309" spans="2:4" hidden="1" outlineLevel="1" x14ac:dyDescent="0.3">
      <c r="C1309" s="41" t="s">
        <v>780</v>
      </c>
      <c r="D1309" s="42" t="s">
        <v>820</v>
      </c>
    </row>
    <row r="1310" spans="2:4" hidden="1" outlineLevel="1" x14ac:dyDescent="0.3">
      <c r="C1310" s="40" t="s">
        <v>781</v>
      </c>
      <c r="D1310" s="35" t="s">
        <v>746</v>
      </c>
    </row>
    <row r="1311" spans="2:4" hidden="1" outlineLevel="1" x14ac:dyDescent="0.3">
      <c r="C1311" s="41" t="s">
        <v>782</v>
      </c>
      <c r="D1311" s="35" t="s">
        <v>367</v>
      </c>
    </row>
    <row r="1312" spans="2:4" hidden="1" outlineLevel="1" x14ac:dyDescent="0.3">
      <c r="C1312" s="41" t="s">
        <v>785</v>
      </c>
      <c r="D1312" s="35" t="s">
        <v>68</v>
      </c>
    </row>
    <row r="1313" spans="3:4" hidden="1" outlineLevel="1" x14ac:dyDescent="0.3">
      <c r="C1313" s="41" t="s">
        <v>786</v>
      </c>
      <c r="D1313" s="35" t="s">
        <v>747</v>
      </c>
    </row>
    <row r="1314" spans="3:4" hidden="1" outlineLevel="1" x14ac:dyDescent="0.3">
      <c r="C1314" s="41" t="s">
        <v>783</v>
      </c>
      <c r="D1314" s="35" t="s">
        <v>11</v>
      </c>
    </row>
    <row r="1315" spans="3:4" hidden="1" outlineLevel="1" x14ac:dyDescent="0.3">
      <c r="C1315" s="41" t="s">
        <v>784</v>
      </c>
      <c r="D1315" s="35" t="s">
        <v>125</v>
      </c>
    </row>
    <row r="1316" spans="3:4" hidden="1" outlineLevel="1" x14ac:dyDescent="0.3">
      <c r="C1316" s="41" t="s">
        <v>787</v>
      </c>
      <c r="D1316" s="35" t="s">
        <v>748</v>
      </c>
    </row>
    <row r="1317" spans="3:4" hidden="1" outlineLevel="1" x14ac:dyDescent="0.3">
      <c r="C1317" s="37" t="s">
        <v>788</v>
      </c>
      <c r="D1317" s="35" t="s">
        <v>517</v>
      </c>
    </row>
    <row r="1318" spans="3:4" hidden="1" outlineLevel="1" x14ac:dyDescent="0.3">
      <c r="C1318" s="37" t="s">
        <v>789</v>
      </c>
      <c r="D1318" s="35" t="s">
        <v>386</v>
      </c>
    </row>
    <row r="1319" spans="3:4" hidden="1" outlineLevel="1" x14ac:dyDescent="0.3">
      <c r="C1319" s="37" t="s">
        <v>790</v>
      </c>
      <c r="D1319" s="35" t="s">
        <v>299</v>
      </c>
    </row>
    <row r="1320" spans="3:4" hidden="1" outlineLevel="1" x14ac:dyDescent="0.3">
      <c r="C1320" s="37" t="s">
        <v>791</v>
      </c>
      <c r="D1320" s="35" t="s">
        <v>749</v>
      </c>
    </row>
    <row r="1321" spans="3:4" hidden="1" outlineLevel="1" x14ac:dyDescent="0.3">
      <c r="C1321" s="37" t="s">
        <v>792</v>
      </c>
      <c r="D1321" s="35" t="s">
        <v>750</v>
      </c>
    </row>
    <row r="1322" spans="3:4" hidden="1" outlineLevel="1" x14ac:dyDescent="0.3">
      <c r="C1322" s="37" t="s">
        <v>793</v>
      </c>
      <c r="D1322" s="35" t="s">
        <v>751</v>
      </c>
    </row>
    <row r="1323" spans="3:4" hidden="1" outlineLevel="1" x14ac:dyDescent="0.3">
      <c r="C1323" s="37" t="s">
        <v>794</v>
      </c>
      <c r="D1323" s="35" t="s">
        <v>752</v>
      </c>
    </row>
    <row r="1324" spans="3:4" hidden="1" outlineLevel="1" x14ac:dyDescent="0.3">
      <c r="C1324" s="37" t="s">
        <v>795</v>
      </c>
      <c r="D1324" s="35" t="s">
        <v>753</v>
      </c>
    </row>
    <row r="1325" spans="3:4" hidden="1" outlineLevel="1" x14ac:dyDescent="0.3">
      <c r="C1325" s="37" t="s">
        <v>796</v>
      </c>
      <c r="D1325" s="35" t="s">
        <v>754</v>
      </c>
    </row>
    <row r="1326" spans="3:4" hidden="1" outlineLevel="1" x14ac:dyDescent="0.3">
      <c r="C1326" s="37" t="s">
        <v>797</v>
      </c>
      <c r="D1326" s="35" t="s">
        <v>755</v>
      </c>
    </row>
    <row r="1327" spans="3:4" hidden="1" outlineLevel="1" x14ac:dyDescent="0.3">
      <c r="C1327" s="37" t="s">
        <v>798</v>
      </c>
      <c r="D1327" s="35" t="s">
        <v>756</v>
      </c>
    </row>
    <row r="1328" spans="3:4" hidden="1" outlineLevel="1" x14ac:dyDescent="0.3">
      <c r="C1328" s="37" t="s">
        <v>799</v>
      </c>
      <c r="D1328" s="35" t="s">
        <v>757</v>
      </c>
    </row>
    <row r="1329" spans="3:4" hidden="1" outlineLevel="1" x14ac:dyDescent="0.3">
      <c r="C1329" s="37" t="s">
        <v>800</v>
      </c>
      <c r="D1329" s="35" t="s">
        <v>758</v>
      </c>
    </row>
    <row r="1330" spans="3:4" hidden="1" outlineLevel="1" x14ac:dyDescent="0.3">
      <c r="C1330" s="37" t="s">
        <v>801</v>
      </c>
      <c r="D1330" s="35" t="s">
        <v>759</v>
      </c>
    </row>
    <row r="1331" spans="3:4" hidden="1" outlineLevel="1" x14ac:dyDescent="0.3">
      <c r="C1331" s="37" t="s">
        <v>802</v>
      </c>
      <c r="D1331" s="35" t="s">
        <v>760</v>
      </c>
    </row>
    <row r="1332" spans="3:4" hidden="1" outlineLevel="1" x14ac:dyDescent="0.3">
      <c r="C1332" s="37" t="s">
        <v>803</v>
      </c>
      <c r="D1332" s="35" t="s">
        <v>761</v>
      </c>
    </row>
    <row r="1333" spans="3:4" hidden="1" outlineLevel="1" x14ac:dyDescent="0.3">
      <c r="C1333" s="37" t="s">
        <v>804</v>
      </c>
      <c r="D1333" s="35" t="s">
        <v>762</v>
      </c>
    </row>
    <row r="1334" spans="3:4" hidden="1" outlineLevel="1" x14ac:dyDescent="0.3">
      <c r="C1334" s="37" t="s">
        <v>805</v>
      </c>
      <c r="D1334" s="35" t="s">
        <v>763</v>
      </c>
    </row>
    <row r="1335" spans="3:4" hidden="1" outlineLevel="1" x14ac:dyDescent="0.3">
      <c r="C1335" s="37" t="s">
        <v>806</v>
      </c>
      <c r="D1335" s="35" t="s">
        <v>764</v>
      </c>
    </row>
    <row r="1336" spans="3:4" hidden="1" outlineLevel="1" x14ac:dyDescent="0.3">
      <c r="C1336" s="37" t="s">
        <v>807</v>
      </c>
      <c r="D1336" s="35" t="s">
        <v>765</v>
      </c>
    </row>
    <row r="1337" spans="3:4" hidden="1" outlineLevel="1" x14ac:dyDescent="0.3">
      <c r="C1337" s="37" t="s">
        <v>808</v>
      </c>
      <c r="D1337" s="35" t="s">
        <v>766</v>
      </c>
    </row>
    <row r="1338" spans="3:4" hidden="1" outlineLevel="1" x14ac:dyDescent="0.3">
      <c r="C1338" s="37" t="s">
        <v>809</v>
      </c>
      <c r="D1338" s="35" t="s">
        <v>767</v>
      </c>
    </row>
    <row r="1339" spans="3:4" hidden="1" outlineLevel="1" x14ac:dyDescent="0.3">
      <c r="C1339" s="37" t="s">
        <v>810</v>
      </c>
      <c r="D1339" s="35" t="s">
        <v>768</v>
      </c>
    </row>
    <row r="1340" spans="3:4" hidden="1" outlineLevel="1" x14ac:dyDescent="0.3">
      <c r="C1340" s="37" t="s">
        <v>811</v>
      </c>
      <c r="D1340" s="35" t="s">
        <v>769</v>
      </c>
    </row>
    <row r="1341" spans="3:4" hidden="1" outlineLevel="1" x14ac:dyDescent="0.3">
      <c r="C1341" s="37" t="s">
        <v>812</v>
      </c>
      <c r="D1341" s="35" t="s">
        <v>770</v>
      </c>
    </row>
    <row r="1342" spans="3:4" hidden="1" outlineLevel="1" x14ac:dyDescent="0.3">
      <c r="C1342" s="37" t="s">
        <v>813</v>
      </c>
      <c r="D1342" s="35" t="s">
        <v>771</v>
      </c>
    </row>
    <row r="1343" spans="3:4" hidden="1" outlineLevel="1" x14ac:dyDescent="0.3">
      <c r="C1343" s="37" t="s">
        <v>814</v>
      </c>
      <c r="D1343" s="35" t="s">
        <v>772</v>
      </c>
    </row>
    <row r="1344" spans="3:4" hidden="1" outlineLevel="1" x14ac:dyDescent="0.3">
      <c r="C1344" s="37" t="s">
        <v>815</v>
      </c>
      <c r="D1344" s="35" t="s">
        <v>773</v>
      </c>
    </row>
    <row r="1345" spans="2:4" hidden="1" outlineLevel="1" x14ac:dyDescent="0.3">
      <c r="C1345" s="37" t="s">
        <v>816</v>
      </c>
      <c r="D1345" s="35" t="s">
        <v>774</v>
      </c>
    </row>
    <row r="1346" spans="2:4" hidden="1" outlineLevel="1" x14ac:dyDescent="0.3">
      <c r="C1346" s="37" t="s">
        <v>817</v>
      </c>
      <c r="D1346" s="35" t="s">
        <v>775</v>
      </c>
    </row>
    <row r="1347" spans="2:4" hidden="1" outlineLevel="1" x14ac:dyDescent="0.3">
      <c r="C1347" s="37" t="s">
        <v>818</v>
      </c>
      <c r="D1347" s="35" t="s">
        <v>776</v>
      </c>
    </row>
    <row r="1348" spans="2:4" hidden="1" outlineLevel="1" x14ac:dyDescent="0.3">
      <c r="C1348" s="37" t="s">
        <v>819</v>
      </c>
      <c r="D1348" s="35" t="s">
        <v>777</v>
      </c>
    </row>
    <row r="1349" spans="2:4" collapsed="1" x14ac:dyDescent="0.3">
      <c r="B1349" s="43" t="s">
        <v>393</v>
      </c>
    </row>
    <row r="1350" spans="2:4" hidden="1" outlineLevel="1" x14ac:dyDescent="0.3">
      <c r="C1350" s="40" t="s">
        <v>779</v>
      </c>
      <c r="D1350" s="35" t="s">
        <v>745</v>
      </c>
    </row>
    <row r="1351" spans="2:4" hidden="1" outlineLevel="1" x14ac:dyDescent="0.3">
      <c r="C1351" s="41" t="s">
        <v>780</v>
      </c>
      <c r="D1351" s="42" t="s">
        <v>820</v>
      </c>
    </row>
    <row r="1352" spans="2:4" hidden="1" outlineLevel="1" x14ac:dyDescent="0.3">
      <c r="C1352" s="40" t="s">
        <v>781</v>
      </c>
      <c r="D1352" s="35" t="s">
        <v>746</v>
      </c>
    </row>
    <row r="1353" spans="2:4" hidden="1" outlineLevel="1" x14ac:dyDescent="0.3">
      <c r="C1353" s="41" t="s">
        <v>782</v>
      </c>
      <c r="D1353" s="35" t="s">
        <v>367</v>
      </c>
    </row>
    <row r="1354" spans="2:4" hidden="1" outlineLevel="1" x14ac:dyDescent="0.3">
      <c r="C1354" s="41" t="s">
        <v>785</v>
      </c>
      <c r="D1354" s="35" t="s">
        <v>68</v>
      </c>
    </row>
    <row r="1355" spans="2:4" hidden="1" outlineLevel="1" x14ac:dyDescent="0.3">
      <c r="C1355" s="41" t="s">
        <v>786</v>
      </c>
      <c r="D1355" s="35" t="s">
        <v>747</v>
      </c>
    </row>
    <row r="1356" spans="2:4" hidden="1" outlineLevel="1" x14ac:dyDescent="0.3">
      <c r="C1356" s="41" t="s">
        <v>783</v>
      </c>
      <c r="D1356" s="35" t="s">
        <v>11</v>
      </c>
    </row>
    <row r="1357" spans="2:4" hidden="1" outlineLevel="1" x14ac:dyDescent="0.3">
      <c r="C1357" s="41" t="s">
        <v>784</v>
      </c>
      <c r="D1357" s="35" t="s">
        <v>125</v>
      </c>
    </row>
    <row r="1358" spans="2:4" hidden="1" outlineLevel="1" x14ac:dyDescent="0.3">
      <c r="C1358" s="41" t="s">
        <v>787</v>
      </c>
      <c r="D1358" s="35" t="s">
        <v>748</v>
      </c>
    </row>
    <row r="1359" spans="2:4" hidden="1" outlineLevel="1" x14ac:dyDescent="0.3">
      <c r="C1359" s="37" t="s">
        <v>788</v>
      </c>
      <c r="D1359" s="35" t="s">
        <v>517</v>
      </c>
    </row>
    <row r="1360" spans="2:4" hidden="1" outlineLevel="1" x14ac:dyDescent="0.3">
      <c r="C1360" s="37" t="s">
        <v>789</v>
      </c>
      <c r="D1360" s="35" t="s">
        <v>386</v>
      </c>
    </row>
    <row r="1361" spans="3:4" hidden="1" outlineLevel="1" x14ac:dyDescent="0.3">
      <c r="C1361" s="37" t="s">
        <v>790</v>
      </c>
      <c r="D1361" s="35" t="s">
        <v>299</v>
      </c>
    </row>
    <row r="1362" spans="3:4" hidden="1" outlineLevel="1" x14ac:dyDescent="0.3">
      <c r="C1362" s="37" t="s">
        <v>791</v>
      </c>
      <c r="D1362" s="35" t="s">
        <v>749</v>
      </c>
    </row>
    <row r="1363" spans="3:4" hidden="1" outlineLevel="1" x14ac:dyDescent="0.3">
      <c r="C1363" s="37" t="s">
        <v>792</v>
      </c>
      <c r="D1363" s="35" t="s">
        <v>750</v>
      </c>
    </row>
    <row r="1364" spans="3:4" hidden="1" outlineLevel="1" x14ac:dyDescent="0.3">
      <c r="C1364" s="37" t="s">
        <v>793</v>
      </c>
      <c r="D1364" s="35" t="s">
        <v>751</v>
      </c>
    </row>
    <row r="1365" spans="3:4" hidden="1" outlineLevel="1" x14ac:dyDescent="0.3">
      <c r="C1365" s="37" t="s">
        <v>794</v>
      </c>
      <c r="D1365" s="35" t="s">
        <v>752</v>
      </c>
    </row>
    <row r="1366" spans="3:4" hidden="1" outlineLevel="1" x14ac:dyDescent="0.3">
      <c r="C1366" s="37" t="s">
        <v>795</v>
      </c>
      <c r="D1366" s="35" t="s">
        <v>753</v>
      </c>
    </row>
    <row r="1367" spans="3:4" hidden="1" outlineLevel="1" x14ac:dyDescent="0.3">
      <c r="C1367" s="37" t="s">
        <v>796</v>
      </c>
      <c r="D1367" s="35" t="s">
        <v>754</v>
      </c>
    </row>
    <row r="1368" spans="3:4" hidden="1" outlineLevel="1" x14ac:dyDescent="0.3">
      <c r="C1368" s="37" t="s">
        <v>797</v>
      </c>
      <c r="D1368" s="35" t="s">
        <v>755</v>
      </c>
    </row>
    <row r="1369" spans="3:4" hidden="1" outlineLevel="1" x14ac:dyDescent="0.3">
      <c r="C1369" s="37" t="s">
        <v>798</v>
      </c>
      <c r="D1369" s="35" t="s">
        <v>756</v>
      </c>
    </row>
    <row r="1370" spans="3:4" hidden="1" outlineLevel="1" x14ac:dyDescent="0.3">
      <c r="C1370" s="37" t="s">
        <v>799</v>
      </c>
      <c r="D1370" s="35" t="s">
        <v>757</v>
      </c>
    </row>
    <row r="1371" spans="3:4" hidden="1" outlineLevel="1" x14ac:dyDescent="0.3">
      <c r="C1371" s="37" t="s">
        <v>800</v>
      </c>
      <c r="D1371" s="35" t="s">
        <v>758</v>
      </c>
    </row>
    <row r="1372" spans="3:4" hidden="1" outlineLevel="1" x14ac:dyDescent="0.3">
      <c r="C1372" s="37" t="s">
        <v>801</v>
      </c>
      <c r="D1372" s="35" t="s">
        <v>759</v>
      </c>
    </row>
    <row r="1373" spans="3:4" hidden="1" outlineLevel="1" x14ac:dyDescent="0.3">
      <c r="C1373" s="37" t="s">
        <v>802</v>
      </c>
      <c r="D1373" s="35" t="s">
        <v>760</v>
      </c>
    </row>
    <row r="1374" spans="3:4" hidden="1" outlineLevel="1" x14ac:dyDescent="0.3">
      <c r="C1374" s="37" t="s">
        <v>803</v>
      </c>
      <c r="D1374" s="35" t="s">
        <v>761</v>
      </c>
    </row>
    <row r="1375" spans="3:4" hidden="1" outlineLevel="1" x14ac:dyDescent="0.3">
      <c r="C1375" s="37" t="s">
        <v>804</v>
      </c>
      <c r="D1375" s="35" t="s">
        <v>762</v>
      </c>
    </row>
    <row r="1376" spans="3:4" hidden="1" outlineLevel="1" x14ac:dyDescent="0.3">
      <c r="C1376" s="37" t="s">
        <v>805</v>
      </c>
      <c r="D1376" s="35" t="s">
        <v>763</v>
      </c>
    </row>
    <row r="1377" spans="2:4" hidden="1" outlineLevel="1" x14ac:dyDescent="0.3">
      <c r="C1377" s="37" t="s">
        <v>806</v>
      </c>
      <c r="D1377" s="35" t="s">
        <v>764</v>
      </c>
    </row>
    <row r="1378" spans="2:4" hidden="1" outlineLevel="1" x14ac:dyDescent="0.3">
      <c r="C1378" s="37" t="s">
        <v>807</v>
      </c>
      <c r="D1378" s="35" t="s">
        <v>765</v>
      </c>
    </row>
    <row r="1379" spans="2:4" hidden="1" outlineLevel="1" x14ac:dyDescent="0.3">
      <c r="C1379" s="37" t="s">
        <v>808</v>
      </c>
      <c r="D1379" s="35" t="s">
        <v>766</v>
      </c>
    </row>
    <row r="1380" spans="2:4" hidden="1" outlineLevel="1" x14ac:dyDescent="0.3">
      <c r="C1380" s="37" t="s">
        <v>809</v>
      </c>
      <c r="D1380" s="35" t="s">
        <v>767</v>
      </c>
    </row>
    <row r="1381" spans="2:4" hidden="1" outlineLevel="1" x14ac:dyDescent="0.3">
      <c r="C1381" s="37" t="s">
        <v>810</v>
      </c>
      <c r="D1381" s="35" t="s">
        <v>768</v>
      </c>
    </row>
    <row r="1382" spans="2:4" hidden="1" outlineLevel="1" x14ac:dyDescent="0.3">
      <c r="C1382" s="37" t="s">
        <v>811</v>
      </c>
      <c r="D1382" s="35" t="s">
        <v>769</v>
      </c>
    </row>
    <row r="1383" spans="2:4" hidden="1" outlineLevel="1" x14ac:dyDescent="0.3">
      <c r="C1383" s="37" t="s">
        <v>812</v>
      </c>
      <c r="D1383" s="35" t="s">
        <v>770</v>
      </c>
    </row>
    <row r="1384" spans="2:4" hidden="1" outlineLevel="1" x14ac:dyDescent="0.3">
      <c r="C1384" s="37" t="s">
        <v>813</v>
      </c>
      <c r="D1384" s="35" t="s">
        <v>771</v>
      </c>
    </row>
    <row r="1385" spans="2:4" hidden="1" outlineLevel="1" x14ac:dyDescent="0.3">
      <c r="C1385" s="37" t="s">
        <v>814</v>
      </c>
      <c r="D1385" s="35" t="s">
        <v>772</v>
      </c>
    </row>
    <row r="1386" spans="2:4" hidden="1" outlineLevel="1" x14ac:dyDescent="0.3">
      <c r="C1386" s="37" t="s">
        <v>815</v>
      </c>
      <c r="D1386" s="35" t="s">
        <v>773</v>
      </c>
    </row>
    <row r="1387" spans="2:4" hidden="1" outlineLevel="1" x14ac:dyDescent="0.3">
      <c r="C1387" s="37" t="s">
        <v>816</v>
      </c>
      <c r="D1387" s="35" t="s">
        <v>774</v>
      </c>
    </row>
    <row r="1388" spans="2:4" hidden="1" outlineLevel="1" x14ac:dyDescent="0.3">
      <c r="C1388" s="37" t="s">
        <v>817</v>
      </c>
      <c r="D1388" s="35" t="s">
        <v>775</v>
      </c>
    </row>
    <row r="1389" spans="2:4" hidden="1" outlineLevel="1" x14ac:dyDescent="0.3">
      <c r="C1389" s="37" t="s">
        <v>818</v>
      </c>
      <c r="D1389" s="35" t="s">
        <v>776</v>
      </c>
    </row>
    <row r="1390" spans="2:4" hidden="1" outlineLevel="1" x14ac:dyDescent="0.3">
      <c r="C1390" s="37" t="s">
        <v>819</v>
      </c>
      <c r="D1390" s="35" t="s">
        <v>777</v>
      </c>
    </row>
    <row r="1391" spans="2:4" collapsed="1" x14ac:dyDescent="0.3">
      <c r="B1391" s="43" t="s">
        <v>348</v>
      </c>
      <c r="C1391" t="s">
        <v>68</v>
      </c>
    </row>
    <row r="1392" spans="2:4" hidden="1" outlineLevel="1" x14ac:dyDescent="0.3">
      <c r="C1392" s="40" t="s">
        <v>779</v>
      </c>
      <c r="D1392" s="35" t="s">
        <v>745</v>
      </c>
    </row>
    <row r="1393" spans="3:4" hidden="1" outlineLevel="1" x14ac:dyDescent="0.3">
      <c r="C1393" s="41" t="s">
        <v>780</v>
      </c>
      <c r="D1393" s="42" t="s">
        <v>820</v>
      </c>
    </row>
    <row r="1394" spans="3:4" hidden="1" outlineLevel="1" x14ac:dyDescent="0.3">
      <c r="C1394" s="40" t="s">
        <v>781</v>
      </c>
      <c r="D1394" s="35" t="s">
        <v>746</v>
      </c>
    </row>
    <row r="1395" spans="3:4" hidden="1" outlineLevel="1" x14ac:dyDescent="0.3">
      <c r="C1395" s="41" t="s">
        <v>782</v>
      </c>
      <c r="D1395" s="35" t="s">
        <v>367</v>
      </c>
    </row>
    <row r="1396" spans="3:4" hidden="1" outlineLevel="1" x14ac:dyDescent="0.3">
      <c r="C1396" s="41" t="s">
        <v>785</v>
      </c>
      <c r="D1396" s="35" t="s">
        <v>68</v>
      </c>
    </row>
    <row r="1397" spans="3:4" hidden="1" outlineLevel="1" x14ac:dyDescent="0.3">
      <c r="C1397" s="41" t="s">
        <v>786</v>
      </c>
      <c r="D1397" s="35" t="s">
        <v>747</v>
      </c>
    </row>
    <row r="1398" spans="3:4" hidden="1" outlineLevel="1" x14ac:dyDescent="0.3">
      <c r="C1398" s="41" t="s">
        <v>783</v>
      </c>
      <c r="D1398" s="35" t="s">
        <v>11</v>
      </c>
    </row>
    <row r="1399" spans="3:4" hidden="1" outlineLevel="1" x14ac:dyDescent="0.3">
      <c r="C1399" s="41" t="s">
        <v>784</v>
      </c>
      <c r="D1399" s="35" t="s">
        <v>125</v>
      </c>
    </row>
    <row r="1400" spans="3:4" hidden="1" outlineLevel="1" x14ac:dyDescent="0.3">
      <c r="C1400" s="41" t="s">
        <v>787</v>
      </c>
      <c r="D1400" s="35" t="s">
        <v>748</v>
      </c>
    </row>
    <row r="1401" spans="3:4" hidden="1" outlineLevel="1" x14ac:dyDescent="0.3">
      <c r="C1401" s="37" t="s">
        <v>788</v>
      </c>
      <c r="D1401" s="35" t="s">
        <v>517</v>
      </c>
    </row>
    <row r="1402" spans="3:4" hidden="1" outlineLevel="1" x14ac:dyDescent="0.3">
      <c r="C1402" s="37" t="s">
        <v>789</v>
      </c>
      <c r="D1402" s="35" t="s">
        <v>386</v>
      </c>
    </row>
    <row r="1403" spans="3:4" hidden="1" outlineLevel="1" x14ac:dyDescent="0.3">
      <c r="C1403" s="37" t="s">
        <v>790</v>
      </c>
      <c r="D1403" s="35" t="s">
        <v>299</v>
      </c>
    </row>
    <row r="1404" spans="3:4" hidden="1" outlineLevel="1" x14ac:dyDescent="0.3">
      <c r="C1404" s="37" t="s">
        <v>791</v>
      </c>
      <c r="D1404" s="35" t="s">
        <v>749</v>
      </c>
    </row>
    <row r="1405" spans="3:4" hidden="1" outlineLevel="1" x14ac:dyDescent="0.3">
      <c r="C1405" s="37" t="s">
        <v>792</v>
      </c>
      <c r="D1405" s="35" t="s">
        <v>750</v>
      </c>
    </row>
    <row r="1406" spans="3:4" hidden="1" outlineLevel="1" x14ac:dyDescent="0.3">
      <c r="C1406" s="37" t="s">
        <v>793</v>
      </c>
      <c r="D1406" s="35" t="s">
        <v>751</v>
      </c>
    </row>
    <row r="1407" spans="3:4" hidden="1" outlineLevel="1" x14ac:dyDescent="0.3">
      <c r="C1407" s="37" t="s">
        <v>794</v>
      </c>
      <c r="D1407" s="35" t="s">
        <v>752</v>
      </c>
    </row>
    <row r="1408" spans="3:4" hidden="1" outlineLevel="1" x14ac:dyDescent="0.3">
      <c r="C1408" s="37" t="s">
        <v>795</v>
      </c>
      <c r="D1408" s="35" t="s">
        <v>753</v>
      </c>
    </row>
    <row r="1409" spans="3:4" hidden="1" outlineLevel="1" x14ac:dyDescent="0.3">
      <c r="C1409" s="37" t="s">
        <v>796</v>
      </c>
      <c r="D1409" s="35" t="s">
        <v>754</v>
      </c>
    </row>
    <row r="1410" spans="3:4" hidden="1" outlineLevel="1" x14ac:dyDescent="0.3">
      <c r="C1410" s="37" t="s">
        <v>797</v>
      </c>
      <c r="D1410" s="35" t="s">
        <v>755</v>
      </c>
    </row>
    <row r="1411" spans="3:4" hidden="1" outlineLevel="1" x14ac:dyDescent="0.3">
      <c r="C1411" s="37" t="s">
        <v>798</v>
      </c>
      <c r="D1411" s="35" t="s">
        <v>756</v>
      </c>
    </row>
    <row r="1412" spans="3:4" hidden="1" outlineLevel="1" x14ac:dyDescent="0.3">
      <c r="C1412" s="37" t="s">
        <v>799</v>
      </c>
      <c r="D1412" s="35" t="s">
        <v>757</v>
      </c>
    </row>
    <row r="1413" spans="3:4" hidden="1" outlineLevel="1" x14ac:dyDescent="0.3">
      <c r="C1413" s="37" t="s">
        <v>800</v>
      </c>
      <c r="D1413" s="35" t="s">
        <v>758</v>
      </c>
    </row>
    <row r="1414" spans="3:4" hidden="1" outlineLevel="1" x14ac:dyDescent="0.3">
      <c r="C1414" s="37" t="s">
        <v>801</v>
      </c>
      <c r="D1414" s="35" t="s">
        <v>759</v>
      </c>
    </row>
    <row r="1415" spans="3:4" hidden="1" outlineLevel="1" x14ac:dyDescent="0.3">
      <c r="C1415" s="37" t="s">
        <v>802</v>
      </c>
      <c r="D1415" s="35" t="s">
        <v>760</v>
      </c>
    </row>
    <row r="1416" spans="3:4" hidden="1" outlineLevel="1" x14ac:dyDescent="0.3">
      <c r="C1416" s="37" t="s">
        <v>803</v>
      </c>
      <c r="D1416" s="35" t="s">
        <v>761</v>
      </c>
    </row>
    <row r="1417" spans="3:4" hidden="1" outlineLevel="1" x14ac:dyDescent="0.3">
      <c r="C1417" s="37" t="s">
        <v>804</v>
      </c>
      <c r="D1417" s="35" t="s">
        <v>762</v>
      </c>
    </row>
    <row r="1418" spans="3:4" hidden="1" outlineLevel="1" x14ac:dyDescent="0.3">
      <c r="C1418" s="37" t="s">
        <v>805</v>
      </c>
      <c r="D1418" s="35" t="s">
        <v>763</v>
      </c>
    </row>
    <row r="1419" spans="3:4" hidden="1" outlineLevel="1" x14ac:dyDescent="0.3">
      <c r="C1419" s="37" t="s">
        <v>806</v>
      </c>
      <c r="D1419" s="35" t="s">
        <v>764</v>
      </c>
    </row>
    <row r="1420" spans="3:4" hidden="1" outlineLevel="1" x14ac:dyDescent="0.3">
      <c r="C1420" s="37" t="s">
        <v>807</v>
      </c>
      <c r="D1420" s="35" t="s">
        <v>765</v>
      </c>
    </row>
    <row r="1421" spans="3:4" hidden="1" outlineLevel="1" x14ac:dyDescent="0.3">
      <c r="C1421" s="37" t="s">
        <v>808</v>
      </c>
      <c r="D1421" s="35" t="s">
        <v>766</v>
      </c>
    </row>
    <row r="1422" spans="3:4" hidden="1" outlineLevel="1" x14ac:dyDescent="0.3">
      <c r="C1422" s="37" t="s">
        <v>809</v>
      </c>
      <c r="D1422" s="35" t="s">
        <v>767</v>
      </c>
    </row>
    <row r="1423" spans="3:4" hidden="1" outlineLevel="1" x14ac:dyDescent="0.3">
      <c r="C1423" s="37" t="s">
        <v>810</v>
      </c>
      <c r="D1423" s="35" t="s">
        <v>768</v>
      </c>
    </row>
    <row r="1424" spans="3:4" hidden="1" outlineLevel="1" x14ac:dyDescent="0.3">
      <c r="C1424" s="37" t="s">
        <v>811</v>
      </c>
      <c r="D1424" s="35" t="s">
        <v>769</v>
      </c>
    </row>
    <row r="1425" spans="2:4" hidden="1" outlineLevel="1" x14ac:dyDescent="0.3">
      <c r="C1425" s="37" t="s">
        <v>812</v>
      </c>
      <c r="D1425" s="35" t="s">
        <v>770</v>
      </c>
    </row>
    <row r="1426" spans="2:4" hidden="1" outlineLevel="1" x14ac:dyDescent="0.3">
      <c r="C1426" s="37" t="s">
        <v>813</v>
      </c>
      <c r="D1426" s="35" t="s">
        <v>771</v>
      </c>
    </row>
    <row r="1427" spans="2:4" hidden="1" outlineLevel="1" x14ac:dyDescent="0.3">
      <c r="C1427" s="37" t="s">
        <v>814</v>
      </c>
      <c r="D1427" s="35" t="s">
        <v>772</v>
      </c>
    </row>
    <row r="1428" spans="2:4" hidden="1" outlineLevel="1" x14ac:dyDescent="0.3">
      <c r="C1428" s="37" t="s">
        <v>815</v>
      </c>
      <c r="D1428" s="35" t="s">
        <v>773</v>
      </c>
    </row>
    <row r="1429" spans="2:4" hidden="1" outlineLevel="1" x14ac:dyDescent="0.3">
      <c r="C1429" s="37" t="s">
        <v>816</v>
      </c>
      <c r="D1429" s="35" t="s">
        <v>774</v>
      </c>
    </row>
    <row r="1430" spans="2:4" hidden="1" outlineLevel="1" x14ac:dyDescent="0.3">
      <c r="C1430" s="37" t="s">
        <v>817</v>
      </c>
      <c r="D1430" s="35" t="s">
        <v>775</v>
      </c>
    </row>
    <row r="1431" spans="2:4" hidden="1" outlineLevel="1" x14ac:dyDescent="0.3">
      <c r="C1431" s="37" t="s">
        <v>818</v>
      </c>
      <c r="D1431" s="35" t="s">
        <v>776</v>
      </c>
    </row>
    <row r="1432" spans="2:4" hidden="1" outlineLevel="1" x14ac:dyDescent="0.3">
      <c r="C1432" s="37" t="s">
        <v>819</v>
      </c>
      <c r="D1432" s="35" t="s">
        <v>777</v>
      </c>
    </row>
    <row r="1433" spans="2:4" collapsed="1" x14ac:dyDescent="0.3">
      <c r="B1433" s="43" t="s">
        <v>502</v>
      </c>
      <c r="C1433" t="s">
        <v>68</v>
      </c>
    </row>
    <row r="1434" spans="2:4" hidden="1" outlineLevel="1" x14ac:dyDescent="0.3">
      <c r="C1434" s="40" t="s">
        <v>779</v>
      </c>
      <c r="D1434" s="35" t="s">
        <v>745</v>
      </c>
    </row>
    <row r="1435" spans="2:4" hidden="1" outlineLevel="1" x14ac:dyDescent="0.3">
      <c r="C1435" s="41" t="s">
        <v>780</v>
      </c>
      <c r="D1435" s="42" t="s">
        <v>820</v>
      </c>
    </row>
    <row r="1436" spans="2:4" hidden="1" outlineLevel="1" x14ac:dyDescent="0.3">
      <c r="C1436" s="40" t="s">
        <v>781</v>
      </c>
      <c r="D1436" s="35" t="s">
        <v>746</v>
      </c>
    </row>
    <row r="1437" spans="2:4" hidden="1" outlineLevel="1" x14ac:dyDescent="0.3">
      <c r="C1437" s="41" t="s">
        <v>782</v>
      </c>
      <c r="D1437" s="35" t="s">
        <v>367</v>
      </c>
    </row>
    <row r="1438" spans="2:4" hidden="1" outlineLevel="1" x14ac:dyDescent="0.3">
      <c r="C1438" s="41" t="s">
        <v>785</v>
      </c>
      <c r="D1438" s="35" t="s">
        <v>68</v>
      </c>
    </row>
    <row r="1439" spans="2:4" hidden="1" outlineLevel="1" x14ac:dyDescent="0.3">
      <c r="C1439" s="41" t="s">
        <v>786</v>
      </c>
      <c r="D1439" s="35" t="s">
        <v>747</v>
      </c>
    </row>
    <row r="1440" spans="2:4" hidden="1" outlineLevel="1" x14ac:dyDescent="0.3">
      <c r="C1440" s="41" t="s">
        <v>783</v>
      </c>
      <c r="D1440" s="35" t="s">
        <v>11</v>
      </c>
    </row>
    <row r="1441" spans="3:4" hidden="1" outlineLevel="1" x14ac:dyDescent="0.3">
      <c r="C1441" s="41" t="s">
        <v>784</v>
      </c>
      <c r="D1441" s="35" t="s">
        <v>125</v>
      </c>
    </row>
    <row r="1442" spans="3:4" hidden="1" outlineLevel="1" x14ac:dyDescent="0.3">
      <c r="C1442" s="41" t="s">
        <v>787</v>
      </c>
      <c r="D1442" s="35" t="s">
        <v>748</v>
      </c>
    </row>
    <row r="1443" spans="3:4" hidden="1" outlineLevel="1" x14ac:dyDescent="0.3">
      <c r="C1443" s="37" t="s">
        <v>788</v>
      </c>
      <c r="D1443" s="35" t="s">
        <v>517</v>
      </c>
    </row>
    <row r="1444" spans="3:4" hidden="1" outlineLevel="1" x14ac:dyDescent="0.3">
      <c r="C1444" s="37" t="s">
        <v>789</v>
      </c>
      <c r="D1444" s="35" t="s">
        <v>386</v>
      </c>
    </row>
    <row r="1445" spans="3:4" hidden="1" outlineLevel="1" x14ac:dyDescent="0.3">
      <c r="C1445" s="37" t="s">
        <v>790</v>
      </c>
      <c r="D1445" s="35" t="s">
        <v>299</v>
      </c>
    </row>
    <row r="1446" spans="3:4" hidden="1" outlineLevel="1" x14ac:dyDescent="0.3">
      <c r="C1446" s="37" t="s">
        <v>791</v>
      </c>
      <c r="D1446" s="35" t="s">
        <v>749</v>
      </c>
    </row>
    <row r="1447" spans="3:4" hidden="1" outlineLevel="1" x14ac:dyDescent="0.3">
      <c r="C1447" s="37" t="s">
        <v>792</v>
      </c>
      <c r="D1447" s="35" t="s">
        <v>750</v>
      </c>
    </row>
    <row r="1448" spans="3:4" hidden="1" outlineLevel="1" x14ac:dyDescent="0.3">
      <c r="C1448" s="37" t="s">
        <v>793</v>
      </c>
      <c r="D1448" s="35" t="s">
        <v>751</v>
      </c>
    </row>
    <row r="1449" spans="3:4" hidden="1" outlineLevel="1" x14ac:dyDescent="0.3">
      <c r="C1449" s="37" t="s">
        <v>794</v>
      </c>
      <c r="D1449" s="35" t="s">
        <v>752</v>
      </c>
    </row>
    <row r="1450" spans="3:4" hidden="1" outlineLevel="1" x14ac:dyDescent="0.3">
      <c r="C1450" s="37" t="s">
        <v>795</v>
      </c>
      <c r="D1450" s="35" t="s">
        <v>753</v>
      </c>
    </row>
    <row r="1451" spans="3:4" hidden="1" outlineLevel="1" x14ac:dyDescent="0.3">
      <c r="C1451" s="37" t="s">
        <v>796</v>
      </c>
      <c r="D1451" s="35" t="s">
        <v>754</v>
      </c>
    </row>
    <row r="1452" spans="3:4" hidden="1" outlineLevel="1" x14ac:dyDescent="0.3">
      <c r="C1452" s="37" t="s">
        <v>797</v>
      </c>
      <c r="D1452" s="35" t="s">
        <v>755</v>
      </c>
    </row>
    <row r="1453" spans="3:4" hidden="1" outlineLevel="1" x14ac:dyDescent="0.3">
      <c r="C1453" s="37" t="s">
        <v>798</v>
      </c>
      <c r="D1453" s="35" t="s">
        <v>756</v>
      </c>
    </row>
    <row r="1454" spans="3:4" hidden="1" outlineLevel="1" x14ac:dyDescent="0.3">
      <c r="C1454" s="37" t="s">
        <v>799</v>
      </c>
      <c r="D1454" s="35" t="s">
        <v>757</v>
      </c>
    </row>
    <row r="1455" spans="3:4" hidden="1" outlineLevel="1" x14ac:dyDescent="0.3">
      <c r="C1455" s="37" t="s">
        <v>800</v>
      </c>
      <c r="D1455" s="35" t="s">
        <v>758</v>
      </c>
    </row>
    <row r="1456" spans="3:4" hidden="1" outlineLevel="1" x14ac:dyDescent="0.3">
      <c r="C1456" s="37" t="s">
        <v>801</v>
      </c>
      <c r="D1456" s="35" t="s">
        <v>759</v>
      </c>
    </row>
    <row r="1457" spans="3:4" hidden="1" outlineLevel="1" x14ac:dyDescent="0.3">
      <c r="C1457" s="37" t="s">
        <v>802</v>
      </c>
      <c r="D1457" s="35" t="s">
        <v>760</v>
      </c>
    </row>
    <row r="1458" spans="3:4" hidden="1" outlineLevel="1" x14ac:dyDescent="0.3">
      <c r="C1458" s="37" t="s">
        <v>803</v>
      </c>
      <c r="D1458" s="35" t="s">
        <v>761</v>
      </c>
    </row>
    <row r="1459" spans="3:4" hidden="1" outlineLevel="1" x14ac:dyDescent="0.3">
      <c r="C1459" s="37" t="s">
        <v>804</v>
      </c>
      <c r="D1459" s="35" t="s">
        <v>762</v>
      </c>
    </row>
    <row r="1460" spans="3:4" hidden="1" outlineLevel="1" x14ac:dyDescent="0.3">
      <c r="C1460" s="37" t="s">
        <v>805</v>
      </c>
      <c r="D1460" s="35" t="s">
        <v>763</v>
      </c>
    </row>
    <row r="1461" spans="3:4" hidden="1" outlineLevel="1" x14ac:dyDescent="0.3">
      <c r="C1461" s="37" t="s">
        <v>806</v>
      </c>
      <c r="D1461" s="35" t="s">
        <v>764</v>
      </c>
    </row>
    <row r="1462" spans="3:4" hidden="1" outlineLevel="1" x14ac:dyDescent="0.3">
      <c r="C1462" s="37" t="s">
        <v>807</v>
      </c>
      <c r="D1462" s="35" t="s">
        <v>765</v>
      </c>
    </row>
    <row r="1463" spans="3:4" hidden="1" outlineLevel="1" x14ac:dyDescent="0.3">
      <c r="C1463" s="37" t="s">
        <v>808</v>
      </c>
      <c r="D1463" s="35" t="s">
        <v>766</v>
      </c>
    </row>
    <row r="1464" spans="3:4" hidden="1" outlineLevel="1" x14ac:dyDescent="0.3">
      <c r="C1464" s="37" t="s">
        <v>809</v>
      </c>
      <c r="D1464" s="35" t="s">
        <v>767</v>
      </c>
    </row>
    <row r="1465" spans="3:4" hidden="1" outlineLevel="1" x14ac:dyDescent="0.3">
      <c r="C1465" s="37" t="s">
        <v>810</v>
      </c>
      <c r="D1465" s="35" t="s">
        <v>768</v>
      </c>
    </row>
    <row r="1466" spans="3:4" hidden="1" outlineLevel="1" x14ac:dyDescent="0.3">
      <c r="C1466" s="37" t="s">
        <v>811</v>
      </c>
      <c r="D1466" s="35" t="s">
        <v>769</v>
      </c>
    </row>
    <row r="1467" spans="3:4" hidden="1" outlineLevel="1" x14ac:dyDescent="0.3">
      <c r="C1467" s="37" t="s">
        <v>812</v>
      </c>
      <c r="D1467" s="35" t="s">
        <v>770</v>
      </c>
    </row>
    <row r="1468" spans="3:4" hidden="1" outlineLevel="1" x14ac:dyDescent="0.3">
      <c r="C1468" s="37" t="s">
        <v>813</v>
      </c>
      <c r="D1468" s="35" t="s">
        <v>771</v>
      </c>
    </row>
    <row r="1469" spans="3:4" hidden="1" outlineLevel="1" x14ac:dyDescent="0.3">
      <c r="C1469" s="37" t="s">
        <v>814</v>
      </c>
      <c r="D1469" s="35" t="s">
        <v>772</v>
      </c>
    </row>
    <row r="1470" spans="3:4" hidden="1" outlineLevel="1" x14ac:dyDescent="0.3">
      <c r="C1470" s="37" t="s">
        <v>815</v>
      </c>
      <c r="D1470" s="35" t="s">
        <v>773</v>
      </c>
    </row>
    <row r="1471" spans="3:4" hidden="1" outlineLevel="1" x14ac:dyDescent="0.3">
      <c r="C1471" s="37" t="s">
        <v>816</v>
      </c>
      <c r="D1471" s="35" t="s">
        <v>774</v>
      </c>
    </row>
    <row r="1472" spans="3:4" hidden="1" outlineLevel="1" x14ac:dyDescent="0.3">
      <c r="C1472" s="37" t="s">
        <v>817</v>
      </c>
      <c r="D1472" s="35" t="s">
        <v>775</v>
      </c>
    </row>
    <row r="1473" spans="2:4" hidden="1" outlineLevel="1" x14ac:dyDescent="0.3">
      <c r="C1473" s="37" t="s">
        <v>818</v>
      </c>
      <c r="D1473" s="35" t="s">
        <v>776</v>
      </c>
    </row>
    <row r="1474" spans="2:4" hidden="1" outlineLevel="1" x14ac:dyDescent="0.3">
      <c r="C1474" s="37" t="s">
        <v>819</v>
      </c>
      <c r="D1474" s="35" t="s">
        <v>777</v>
      </c>
    </row>
    <row r="1475" spans="2:4" collapsed="1" x14ac:dyDescent="0.3">
      <c r="B1475" s="43" t="s">
        <v>67</v>
      </c>
      <c r="C1475" t="s">
        <v>68</v>
      </c>
    </row>
    <row r="1476" spans="2:4" hidden="1" outlineLevel="1" x14ac:dyDescent="0.3">
      <c r="C1476" s="40" t="s">
        <v>779</v>
      </c>
      <c r="D1476" s="35" t="s">
        <v>745</v>
      </c>
    </row>
    <row r="1477" spans="2:4" hidden="1" outlineLevel="1" x14ac:dyDescent="0.3">
      <c r="C1477" s="41" t="s">
        <v>780</v>
      </c>
      <c r="D1477" s="42" t="s">
        <v>820</v>
      </c>
    </row>
    <row r="1478" spans="2:4" hidden="1" outlineLevel="1" x14ac:dyDescent="0.3">
      <c r="C1478" s="40" t="s">
        <v>781</v>
      </c>
      <c r="D1478" s="35" t="s">
        <v>746</v>
      </c>
    </row>
    <row r="1479" spans="2:4" hidden="1" outlineLevel="1" x14ac:dyDescent="0.3">
      <c r="C1479" s="41" t="s">
        <v>782</v>
      </c>
      <c r="D1479" s="35" t="s">
        <v>367</v>
      </c>
    </row>
    <row r="1480" spans="2:4" hidden="1" outlineLevel="1" x14ac:dyDescent="0.3">
      <c r="C1480" s="41" t="s">
        <v>785</v>
      </c>
      <c r="D1480" s="35" t="s">
        <v>68</v>
      </c>
    </row>
    <row r="1481" spans="2:4" hidden="1" outlineLevel="1" x14ac:dyDescent="0.3">
      <c r="C1481" s="41" t="s">
        <v>786</v>
      </c>
      <c r="D1481" s="35" t="s">
        <v>747</v>
      </c>
    </row>
    <row r="1482" spans="2:4" hidden="1" outlineLevel="1" x14ac:dyDescent="0.3">
      <c r="C1482" s="41" t="s">
        <v>783</v>
      </c>
      <c r="D1482" s="35" t="s">
        <v>11</v>
      </c>
    </row>
    <row r="1483" spans="2:4" hidden="1" outlineLevel="1" x14ac:dyDescent="0.3">
      <c r="C1483" s="41" t="s">
        <v>784</v>
      </c>
      <c r="D1483" s="35" t="s">
        <v>125</v>
      </c>
    </row>
    <row r="1484" spans="2:4" hidden="1" outlineLevel="1" x14ac:dyDescent="0.3">
      <c r="C1484" s="41" t="s">
        <v>787</v>
      </c>
      <c r="D1484" s="35" t="s">
        <v>748</v>
      </c>
    </row>
    <row r="1485" spans="2:4" hidden="1" outlineLevel="1" x14ac:dyDescent="0.3">
      <c r="C1485" s="37" t="s">
        <v>788</v>
      </c>
      <c r="D1485" s="35" t="s">
        <v>517</v>
      </c>
    </row>
    <row r="1486" spans="2:4" hidden="1" outlineLevel="1" x14ac:dyDescent="0.3">
      <c r="C1486" s="37" t="s">
        <v>789</v>
      </c>
      <c r="D1486" s="35" t="s">
        <v>386</v>
      </c>
    </row>
    <row r="1487" spans="2:4" hidden="1" outlineLevel="1" x14ac:dyDescent="0.3">
      <c r="C1487" s="37" t="s">
        <v>790</v>
      </c>
      <c r="D1487" s="35" t="s">
        <v>299</v>
      </c>
    </row>
    <row r="1488" spans="2:4" hidden="1" outlineLevel="1" x14ac:dyDescent="0.3">
      <c r="C1488" s="37" t="s">
        <v>791</v>
      </c>
      <c r="D1488" s="35" t="s">
        <v>749</v>
      </c>
    </row>
    <row r="1489" spans="3:4" hidden="1" outlineLevel="1" x14ac:dyDescent="0.3">
      <c r="C1489" s="37" t="s">
        <v>792</v>
      </c>
      <c r="D1489" s="35" t="s">
        <v>750</v>
      </c>
    </row>
    <row r="1490" spans="3:4" hidden="1" outlineLevel="1" x14ac:dyDescent="0.3">
      <c r="C1490" s="37" t="s">
        <v>793</v>
      </c>
      <c r="D1490" s="35" t="s">
        <v>751</v>
      </c>
    </row>
    <row r="1491" spans="3:4" hidden="1" outlineLevel="1" x14ac:dyDescent="0.3">
      <c r="C1491" s="37" t="s">
        <v>794</v>
      </c>
      <c r="D1491" s="35" t="s">
        <v>752</v>
      </c>
    </row>
    <row r="1492" spans="3:4" hidden="1" outlineLevel="1" x14ac:dyDescent="0.3">
      <c r="C1492" s="37" t="s">
        <v>795</v>
      </c>
      <c r="D1492" s="35" t="s">
        <v>753</v>
      </c>
    </row>
    <row r="1493" spans="3:4" hidden="1" outlineLevel="1" x14ac:dyDescent="0.3">
      <c r="C1493" s="37" t="s">
        <v>796</v>
      </c>
      <c r="D1493" s="35" t="s">
        <v>754</v>
      </c>
    </row>
    <row r="1494" spans="3:4" hidden="1" outlineLevel="1" x14ac:dyDescent="0.3">
      <c r="C1494" s="37" t="s">
        <v>797</v>
      </c>
      <c r="D1494" s="35" t="s">
        <v>755</v>
      </c>
    </row>
    <row r="1495" spans="3:4" hidden="1" outlineLevel="1" x14ac:dyDescent="0.3">
      <c r="C1495" s="37" t="s">
        <v>798</v>
      </c>
      <c r="D1495" s="35" t="s">
        <v>756</v>
      </c>
    </row>
    <row r="1496" spans="3:4" hidden="1" outlineLevel="1" x14ac:dyDescent="0.3">
      <c r="C1496" s="37" t="s">
        <v>799</v>
      </c>
      <c r="D1496" s="35" t="s">
        <v>757</v>
      </c>
    </row>
    <row r="1497" spans="3:4" hidden="1" outlineLevel="1" x14ac:dyDescent="0.3">
      <c r="C1497" s="37" t="s">
        <v>800</v>
      </c>
      <c r="D1497" s="35" t="s">
        <v>758</v>
      </c>
    </row>
    <row r="1498" spans="3:4" hidden="1" outlineLevel="1" x14ac:dyDescent="0.3">
      <c r="C1498" s="37" t="s">
        <v>801</v>
      </c>
      <c r="D1498" s="35" t="s">
        <v>759</v>
      </c>
    </row>
    <row r="1499" spans="3:4" hidden="1" outlineLevel="1" x14ac:dyDescent="0.3">
      <c r="C1499" s="37" t="s">
        <v>802</v>
      </c>
      <c r="D1499" s="35" t="s">
        <v>760</v>
      </c>
    </row>
    <row r="1500" spans="3:4" hidden="1" outlineLevel="1" x14ac:dyDescent="0.3">
      <c r="C1500" s="37" t="s">
        <v>803</v>
      </c>
      <c r="D1500" s="35" t="s">
        <v>761</v>
      </c>
    </row>
    <row r="1501" spans="3:4" hidden="1" outlineLevel="1" x14ac:dyDescent="0.3">
      <c r="C1501" s="37" t="s">
        <v>804</v>
      </c>
      <c r="D1501" s="35" t="s">
        <v>762</v>
      </c>
    </row>
    <row r="1502" spans="3:4" hidden="1" outlineLevel="1" x14ac:dyDescent="0.3">
      <c r="C1502" s="37" t="s">
        <v>805</v>
      </c>
      <c r="D1502" s="35" t="s">
        <v>763</v>
      </c>
    </row>
    <row r="1503" spans="3:4" hidden="1" outlineLevel="1" x14ac:dyDescent="0.3">
      <c r="C1503" s="37" t="s">
        <v>806</v>
      </c>
      <c r="D1503" s="35" t="s">
        <v>764</v>
      </c>
    </row>
    <row r="1504" spans="3:4" hidden="1" outlineLevel="1" x14ac:dyDescent="0.3">
      <c r="C1504" s="37" t="s">
        <v>807</v>
      </c>
      <c r="D1504" s="35" t="s">
        <v>765</v>
      </c>
    </row>
    <row r="1505" spans="2:4" hidden="1" outlineLevel="1" x14ac:dyDescent="0.3">
      <c r="C1505" s="37" t="s">
        <v>808</v>
      </c>
      <c r="D1505" s="35" t="s">
        <v>766</v>
      </c>
    </row>
    <row r="1506" spans="2:4" hidden="1" outlineLevel="1" x14ac:dyDescent="0.3">
      <c r="C1506" s="37" t="s">
        <v>809</v>
      </c>
      <c r="D1506" s="35" t="s">
        <v>767</v>
      </c>
    </row>
    <row r="1507" spans="2:4" hidden="1" outlineLevel="1" x14ac:dyDescent="0.3">
      <c r="C1507" s="37" t="s">
        <v>810</v>
      </c>
      <c r="D1507" s="35" t="s">
        <v>768</v>
      </c>
    </row>
    <row r="1508" spans="2:4" hidden="1" outlineLevel="1" x14ac:dyDescent="0.3">
      <c r="C1508" s="37" t="s">
        <v>811</v>
      </c>
      <c r="D1508" s="35" t="s">
        <v>769</v>
      </c>
    </row>
    <row r="1509" spans="2:4" hidden="1" outlineLevel="1" x14ac:dyDescent="0.3">
      <c r="C1509" s="37" t="s">
        <v>812</v>
      </c>
      <c r="D1509" s="35" t="s">
        <v>770</v>
      </c>
    </row>
    <row r="1510" spans="2:4" hidden="1" outlineLevel="1" x14ac:dyDescent="0.3">
      <c r="C1510" s="37" t="s">
        <v>813</v>
      </c>
      <c r="D1510" s="35" t="s">
        <v>771</v>
      </c>
    </row>
    <row r="1511" spans="2:4" hidden="1" outlineLevel="1" x14ac:dyDescent="0.3">
      <c r="C1511" s="37" t="s">
        <v>814</v>
      </c>
      <c r="D1511" s="35" t="s">
        <v>772</v>
      </c>
    </row>
    <row r="1512" spans="2:4" hidden="1" outlineLevel="1" x14ac:dyDescent="0.3">
      <c r="C1512" s="37" t="s">
        <v>815</v>
      </c>
      <c r="D1512" s="35" t="s">
        <v>773</v>
      </c>
    </row>
    <row r="1513" spans="2:4" hidden="1" outlineLevel="1" x14ac:dyDescent="0.3">
      <c r="C1513" s="37" t="s">
        <v>816</v>
      </c>
      <c r="D1513" s="35" t="s">
        <v>774</v>
      </c>
    </row>
    <row r="1514" spans="2:4" hidden="1" outlineLevel="1" x14ac:dyDescent="0.3">
      <c r="C1514" s="37" t="s">
        <v>817</v>
      </c>
      <c r="D1514" s="35" t="s">
        <v>775</v>
      </c>
    </row>
    <row r="1515" spans="2:4" hidden="1" outlineLevel="1" x14ac:dyDescent="0.3">
      <c r="C1515" s="37" t="s">
        <v>818</v>
      </c>
      <c r="D1515" s="35" t="s">
        <v>776</v>
      </c>
    </row>
    <row r="1516" spans="2:4" hidden="1" outlineLevel="1" x14ac:dyDescent="0.3">
      <c r="C1516" s="37" t="s">
        <v>819</v>
      </c>
      <c r="D1516" s="35" t="s">
        <v>777</v>
      </c>
    </row>
    <row r="1517" spans="2:4" collapsed="1" x14ac:dyDescent="0.3">
      <c r="B1517" s="43" t="s">
        <v>306</v>
      </c>
      <c r="C1517" t="s">
        <v>68</v>
      </c>
    </row>
    <row r="1518" spans="2:4" hidden="1" outlineLevel="1" x14ac:dyDescent="0.3">
      <c r="C1518" s="40" t="s">
        <v>779</v>
      </c>
      <c r="D1518" s="35" t="s">
        <v>745</v>
      </c>
    </row>
    <row r="1519" spans="2:4" hidden="1" outlineLevel="1" x14ac:dyDescent="0.3">
      <c r="C1519" s="41" t="s">
        <v>780</v>
      </c>
      <c r="D1519" s="42" t="s">
        <v>820</v>
      </c>
    </row>
    <row r="1520" spans="2:4" hidden="1" outlineLevel="1" x14ac:dyDescent="0.3">
      <c r="C1520" s="40" t="s">
        <v>781</v>
      </c>
      <c r="D1520" s="35" t="s">
        <v>746</v>
      </c>
    </row>
    <row r="1521" spans="3:4" hidden="1" outlineLevel="1" x14ac:dyDescent="0.3">
      <c r="C1521" s="41" t="s">
        <v>782</v>
      </c>
      <c r="D1521" s="35" t="s">
        <v>367</v>
      </c>
    </row>
    <row r="1522" spans="3:4" hidden="1" outlineLevel="1" x14ac:dyDescent="0.3">
      <c r="C1522" s="41" t="s">
        <v>785</v>
      </c>
      <c r="D1522" s="35" t="s">
        <v>68</v>
      </c>
    </row>
    <row r="1523" spans="3:4" hidden="1" outlineLevel="1" x14ac:dyDescent="0.3">
      <c r="C1523" s="41" t="s">
        <v>786</v>
      </c>
      <c r="D1523" s="35" t="s">
        <v>747</v>
      </c>
    </row>
    <row r="1524" spans="3:4" hidden="1" outlineLevel="1" x14ac:dyDescent="0.3">
      <c r="C1524" s="41" t="s">
        <v>783</v>
      </c>
      <c r="D1524" s="35" t="s">
        <v>11</v>
      </c>
    </row>
    <row r="1525" spans="3:4" hidden="1" outlineLevel="1" x14ac:dyDescent="0.3">
      <c r="C1525" s="41" t="s">
        <v>784</v>
      </c>
      <c r="D1525" s="35" t="s">
        <v>125</v>
      </c>
    </row>
    <row r="1526" spans="3:4" hidden="1" outlineLevel="1" x14ac:dyDescent="0.3">
      <c r="C1526" s="41" t="s">
        <v>787</v>
      </c>
      <c r="D1526" s="35" t="s">
        <v>748</v>
      </c>
    </row>
    <row r="1527" spans="3:4" hidden="1" outlineLevel="1" x14ac:dyDescent="0.3">
      <c r="C1527" s="37" t="s">
        <v>788</v>
      </c>
      <c r="D1527" s="35" t="s">
        <v>517</v>
      </c>
    </row>
    <row r="1528" spans="3:4" hidden="1" outlineLevel="1" x14ac:dyDescent="0.3">
      <c r="C1528" s="37" t="s">
        <v>789</v>
      </c>
      <c r="D1528" s="35" t="s">
        <v>386</v>
      </c>
    </row>
    <row r="1529" spans="3:4" hidden="1" outlineLevel="1" x14ac:dyDescent="0.3">
      <c r="C1529" s="37" t="s">
        <v>790</v>
      </c>
      <c r="D1529" s="35" t="s">
        <v>299</v>
      </c>
    </row>
    <row r="1530" spans="3:4" hidden="1" outlineLevel="1" x14ac:dyDescent="0.3">
      <c r="C1530" s="37" t="s">
        <v>791</v>
      </c>
      <c r="D1530" s="35" t="s">
        <v>749</v>
      </c>
    </row>
    <row r="1531" spans="3:4" hidden="1" outlineLevel="1" x14ac:dyDescent="0.3">
      <c r="C1531" s="37" t="s">
        <v>792</v>
      </c>
      <c r="D1531" s="35" t="s">
        <v>750</v>
      </c>
    </row>
    <row r="1532" spans="3:4" hidden="1" outlineLevel="1" x14ac:dyDescent="0.3">
      <c r="C1532" s="37" t="s">
        <v>793</v>
      </c>
      <c r="D1532" s="35" t="s">
        <v>751</v>
      </c>
    </row>
    <row r="1533" spans="3:4" hidden="1" outlineLevel="1" x14ac:dyDescent="0.3">
      <c r="C1533" s="37" t="s">
        <v>794</v>
      </c>
      <c r="D1533" s="35" t="s">
        <v>752</v>
      </c>
    </row>
    <row r="1534" spans="3:4" hidden="1" outlineLevel="1" x14ac:dyDescent="0.3">
      <c r="C1534" s="37" t="s">
        <v>795</v>
      </c>
      <c r="D1534" s="35" t="s">
        <v>753</v>
      </c>
    </row>
    <row r="1535" spans="3:4" hidden="1" outlineLevel="1" x14ac:dyDescent="0.3">
      <c r="C1535" s="37" t="s">
        <v>796</v>
      </c>
      <c r="D1535" s="35" t="s">
        <v>754</v>
      </c>
    </row>
    <row r="1536" spans="3:4" hidden="1" outlineLevel="1" x14ac:dyDescent="0.3">
      <c r="C1536" s="37" t="s">
        <v>797</v>
      </c>
      <c r="D1536" s="35" t="s">
        <v>755</v>
      </c>
    </row>
    <row r="1537" spans="3:4" hidden="1" outlineLevel="1" x14ac:dyDescent="0.3">
      <c r="C1537" s="37" t="s">
        <v>798</v>
      </c>
      <c r="D1537" s="35" t="s">
        <v>756</v>
      </c>
    </row>
    <row r="1538" spans="3:4" hidden="1" outlineLevel="1" x14ac:dyDescent="0.3">
      <c r="C1538" s="37" t="s">
        <v>799</v>
      </c>
      <c r="D1538" s="35" t="s">
        <v>757</v>
      </c>
    </row>
    <row r="1539" spans="3:4" hidden="1" outlineLevel="1" x14ac:dyDescent="0.3">
      <c r="C1539" s="37" t="s">
        <v>800</v>
      </c>
      <c r="D1539" s="35" t="s">
        <v>758</v>
      </c>
    </row>
    <row r="1540" spans="3:4" hidden="1" outlineLevel="1" x14ac:dyDescent="0.3">
      <c r="C1540" s="37" t="s">
        <v>801</v>
      </c>
      <c r="D1540" s="35" t="s">
        <v>759</v>
      </c>
    </row>
    <row r="1541" spans="3:4" hidden="1" outlineLevel="1" x14ac:dyDescent="0.3">
      <c r="C1541" s="37" t="s">
        <v>802</v>
      </c>
      <c r="D1541" s="35" t="s">
        <v>760</v>
      </c>
    </row>
    <row r="1542" spans="3:4" hidden="1" outlineLevel="1" x14ac:dyDescent="0.3">
      <c r="C1542" s="37" t="s">
        <v>803</v>
      </c>
      <c r="D1542" s="35" t="s">
        <v>761</v>
      </c>
    </row>
    <row r="1543" spans="3:4" hidden="1" outlineLevel="1" x14ac:dyDescent="0.3">
      <c r="C1543" s="37" t="s">
        <v>804</v>
      </c>
      <c r="D1543" s="35" t="s">
        <v>762</v>
      </c>
    </row>
    <row r="1544" spans="3:4" hidden="1" outlineLevel="1" x14ac:dyDescent="0.3">
      <c r="C1544" s="37" t="s">
        <v>805</v>
      </c>
      <c r="D1544" s="35" t="s">
        <v>763</v>
      </c>
    </row>
    <row r="1545" spans="3:4" hidden="1" outlineLevel="1" x14ac:dyDescent="0.3">
      <c r="C1545" s="37" t="s">
        <v>806</v>
      </c>
      <c r="D1545" s="35" t="s">
        <v>764</v>
      </c>
    </row>
    <row r="1546" spans="3:4" hidden="1" outlineLevel="1" x14ac:dyDescent="0.3">
      <c r="C1546" s="37" t="s">
        <v>807</v>
      </c>
      <c r="D1546" s="35" t="s">
        <v>765</v>
      </c>
    </row>
    <row r="1547" spans="3:4" hidden="1" outlineLevel="1" x14ac:dyDescent="0.3">
      <c r="C1547" s="37" t="s">
        <v>808</v>
      </c>
      <c r="D1547" s="35" t="s">
        <v>766</v>
      </c>
    </row>
    <row r="1548" spans="3:4" hidden="1" outlineLevel="1" x14ac:dyDescent="0.3">
      <c r="C1548" s="37" t="s">
        <v>809</v>
      </c>
      <c r="D1548" s="35" t="s">
        <v>767</v>
      </c>
    </row>
    <row r="1549" spans="3:4" hidden="1" outlineLevel="1" x14ac:dyDescent="0.3">
      <c r="C1549" s="37" t="s">
        <v>810</v>
      </c>
      <c r="D1549" s="35" t="s">
        <v>768</v>
      </c>
    </row>
    <row r="1550" spans="3:4" hidden="1" outlineLevel="1" x14ac:dyDescent="0.3">
      <c r="C1550" s="37" t="s">
        <v>811</v>
      </c>
      <c r="D1550" s="35" t="s">
        <v>769</v>
      </c>
    </row>
    <row r="1551" spans="3:4" hidden="1" outlineLevel="1" x14ac:dyDescent="0.3">
      <c r="C1551" s="37" t="s">
        <v>812</v>
      </c>
      <c r="D1551" s="35" t="s">
        <v>770</v>
      </c>
    </row>
    <row r="1552" spans="3:4" hidden="1" outlineLevel="1" x14ac:dyDescent="0.3">
      <c r="C1552" s="37" t="s">
        <v>813</v>
      </c>
      <c r="D1552" s="35" t="s">
        <v>771</v>
      </c>
    </row>
    <row r="1553" spans="2:4" hidden="1" outlineLevel="1" x14ac:dyDescent="0.3">
      <c r="C1553" s="37" t="s">
        <v>814</v>
      </c>
      <c r="D1553" s="35" t="s">
        <v>772</v>
      </c>
    </row>
    <row r="1554" spans="2:4" hidden="1" outlineLevel="1" x14ac:dyDescent="0.3">
      <c r="C1554" s="37" t="s">
        <v>815</v>
      </c>
      <c r="D1554" s="35" t="s">
        <v>773</v>
      </c>
    </row>
    <row r="1555" spans="2:4" hidden="1" outlineLevel="1" x14ac:dyDescent="0.3">
      <c r="C1555" s="37" t="s">
        <v>816</v>
      </c>
      <c r="D1555" s="35" t="s">
        <v>774</v>
      </c>
    </row>
    <row r="1556" spans="2:4" hidden="1" outlineLevel="1" x14ac:dyDescent="0.3">
      <c r="C1556" s="37" t="s">
        <v>817</v>
      </c>
      <c r="D1556" s="35" t="s">
        <v>775</v>
      </c>
    </row>
    <row r="1557" spans="2:4" hidden="1" outlineLevel="1" x14ac:dyDescent="0.3">
      <c r="C1557" s="37" t="s">
        <v>818</v>
      </c>
      <c r="D1557" s="35" t="s">
        <v>776</v>
      </c>
    </row>
    <row r="1558" spans="2:4" hidden="1" outlineLevel="1" x14ac:dyDescent="0.3">
      <c r="C1558" s="37" t="s">
        <v>819</v>
      </c>
      <c r="D1558" s="35" t="s">
        <v>777</v>
      </c>
    </row>
    <row r="1559" spans="2:4" collapsed="1" x14ac:dyDescent="0.3">
      <c r="B1559" s="43" t="s">
        <v>319</v>
      </c>
      <c r="C1559" t="s">
        <v>299</v>
      </c>
    </row>
    <row r="1560" spans="2:4" hidden="1" outlineLevel="1" x14ac:dyDescent="0.3">
      <c r="C1560" s="40" t="s">
        <v>779</v>
      </c>
      <c r="D1560" s="35" t="s">
        <v>745</v>
      </c>
    </row>
    <row r="1561" spans="2:4" hidden="1" outlineLevel="1" x14ac:dyDescent="0.3">
      <c r="C1561" s="41" t="s">
        <v>780</v>
      </c>
      <c r="D1561" s="42" t="s">
        <v>820</v>
      </c>
    </row>
    <row r="1562" spans="2:4" hidden="1" outlineLevel="1" x14ac:dyDescent="0.3">
      <c r="C1562" s="40" t="s">
        <v>781</v>
      </c>
      <c r="D1562" s="35" t="s">
        <v>746</v>
      </c>
    </row>
    <row r="1563" spans="2:4" hidden="1" outlineLevel="1" x14ac:dyDescent="0.3">
      <c r="C1563" s="41" t="s">
        <v>782</v>
      </c>
      <c r="D1563" s="35" t="s">
        <v>367</v>
      </c>
    </row>
    <row r="1564" spans="2:4" hidden="1" outlineLevel="1" x14ac:dyDescent="0.3">
      <c r="C1564" s="41" t="s">
        <v>785</v>
      </c>
      <c r="D1564" s="35" t="s">
        <v>68</v>
      </c>
    </row>
    <row r="1565" spans="2:4" hidden="1" outlineLevel="1" x14ac:dyDescent="0.3">
      <c r="C1565" s="41" t="s">
        <v>786</v>
      </c>
      <c r="D1565" s="35" t="s">
        <v>747</v>
      </c>
    </row>
    <row r="1566" spans="2:4" hidden="1" outlineLevel="1" x14ac:dyDescent="0.3">
      <c r="C1566" s="41" t="s">
        <v>783</v>
      </c>
      <c r="D1566" s="35" t="s">
        <v>11</v>
      </c>
    </row>
    <row r="1567" spans="2:4" hidden="1" outlineLevel="1" x14ac:dyDescent="0.3">
      <c r="C1567" s="41" t="s">
        <v>784</v>
      </c>
      <c r="D1567" s="35" t="s">
        <v>125</v>
      </c>
    </row>
    <row r="1568" spans="2:4" hidden="1" outlineLevel="1" x14ac:dyDescent="0.3">
      <c r="C1568" s="41" t="s">
        <v>787</v>
      </c>
      <c r="D1568" s="35" t="s">
        <v>748</v>
      </c>
    </row>
    <row r="1569" spans="3:4" hidden="1" outlineLevel="1" x14ac:dyDescent="0.3">
      <c r="C1569" s="37" t="s">
        <v>788</v>
      </c>
      <c r="D1569" s="35" t="s">
        <v>517</v>
      </c>
    </row>
    <row r="1570" spans="3:4" hidden="1" outlineLevel="1" x14ac:dyDescent="0.3">
      <c r="C1570" s="37" t="s">
        <v>789</v>
      </c>
      <c r="D1570" s="35" t="s">
        <v>386</v>
      </c>
    </row>
    <row r="1571" spans="3:4" hidden="1" outlineLevel="1" x14ac:dyDescent="0.3">
      <c r="C1571" s="37" t="s">
        <v>790</v>
      </c>
      <c r="D1571" s="35" t="s">
        <v>299</v>
      </c>
    </row>
    <row r="1572" spans="3:4" hidden="1" outlineLevel="1" x14ac:dyDescent="0.3">
      <c r="C1572" s="37" t="s">
        <v>791</v>
      </c>
      <c r="D1572" s="35" t="s">
        <v>749</v>
      </c>
    </row>
    <row r="1573" spans="3:4" hidden="1" outlineLevel="1" x14ac:dyDescent="0.3">
      <c r="C1573" s="37" t="s">
        <v>792</v>
      </c>
      <c r="D1573" s="35" t="s">
        <v>750</v>
      </c>
    </row>
    <row r="1574" spans="3:4" hidden="1" outlineLevel="1" x14ac:dyDescent="0.3">
      <c r="C1574" s="37" t="s">
        <v>793</v>
      </c>
      <c r="D1574" s="35" t="s">
        <v>751</v>
      </c>
    </row>
    <row r="1575" spans="3:4" hidden="1" outlineLevel="1" x14ac:dyDescent="0.3">
      <c r="C1575" s="37" t="s">
        <v>794</v>
      </c>
      <c r="D1575" s="35" t="s">
        <v>752</v>
      </c>
    </row>
    <row r="1576" spans="3:4" hidden="1" outlineLevel="1" x14ac:dyDescent="0.3">
      <c r="C1576" s="37" t="s">
        <v>795</v>
      </c>
      <c r="D1576" s="35" t="s">
        <v>753</v>
      </c>
    </row>
    <row r="1577" spans="3:4" hidden="1" outlineLevel="1" x14ac:dyDescent="0.3">
      <c r="C1577" s="37" t="s">
        <v>796</v>
      </c>
      <c r="D1577" s="35" t="s">
        <v>754</v>
      </c>
    </row>
    <row r="1578" spans="3:4" hidden="1" outlineLevel="1" x14ac:dyDescent="0.3">
      <c r="C1578" s="37" t="s">
        <v>797</v>
      </c>
      <c r="D1578" s="35" t="s">
        <v>755</v>
      </c>
    </row>
    <row r="1579" spans="3:4" hidden="1" outlineLevel="1" x14ac:dyDescent="0.3">
      <c r="C1579" s="37" t="s">
        <v>798</v>
      </c>
      <c r="D1579" s="35" t="s">
        <v>756</v>
      </c>
    </row>
    <row r="1580" spans="3:4" hidden="1" outlineLevel="1" x14ac:dyDescent="0.3">
      <c r="C1580" s="37" t="s">
        <v>799</v>
      </c>
      <c r="D1580" s="35" t="s">
        <v>757</v>
      </c>
    </row>
    <row r="1581" spans="3:4" hidden="1" outlineLevel="1" x14ac:dyDescent="0.3">
      <c r="C1581" s="37" t="s">
        <v>800</v>
      </c>
      <c r="D1581" s="35" t="s">
        <v>758</v>
      </c>
    </row>
    <row r="1582" spans="3:4" hidden="1" outlineLevel="1" x14ac:dyDescent="0.3">
      <c r="C1582" s="37" t="s">
        <v>801</v>
      </c>
      <c r="D1582" s="35" t="s">
        <v>759</v>
      </c>
    </row>
    <row r="1583" spans="3:4" hidden="1" outlineLevel="1" x14ac:dyDescent="0.3">
      <c r="C1583" s="37" t="s">
        <v>802</v>
      </c>
      <c r="D1583" s="35" t="s">
        <v>760</v>
      </c>
    </row>
    <row r="1584" spans="3:4" hidden="1" outlineLevel="1" x14ac:dyDescent="0.3">
      <c r="C1584" s="37" t="s">
        <v>803</v>
      </c>
      <c r="D1584" s="35" t="s">
        <v>761</v>
      </c>
    </row>
    <row r="1585" spans="3:4" hidden="1" outlineLevel="1" x14ac:dyDescent="0.3">
      <c r="C1585" s="37" t="s">
        <v>804</v>
      </c>
      <c r="D1585" s="35" t="s">
        <v>762</v>
      </c>
    </row>
    <row r="1586" spans="3:4" hidden="1" outlineLevel="1" x14ac:dyDescent="0.3">
      <c r="C1586" s="37" t="s">
        <v>805</v>
      </c>
      <c r="D1586" s="35" t="s">
        <v>763</v>
      </c>
    </row>
    <row r="1587" spans="3:4" hidden="1" outlineLevel="1" x14ac:dyDescent="0.3">
      <c r="C1587" s="37" t="s">
        <v>806</v>
      </c>
      <c r="D1587" s="35" t="s">
        <v>764</v>
      </c>
    </row>
    <row r="1588" spans="3:4" hidden="1" outlineLevel="1" x14ac:dyDescent="0.3">
      <c r="C1588" s="37" t="s">
        <v>807</v>
      </c>
      <c r="D1588" s="35" t="s">
        <v>765</v>
      </c>
    </row>
    <row r="1589" spans="3:4" hidden="1" outlineLevel="1" x14ac:dyDescent="0.3">
      <c r="C1589" s="37" t="s">
        <v>808</v>
      </c>
      <c r="D1589" s="35" t="s">
        <v>766</v>
      </c>
    </row>
    <row r="1590" spans="3:4" hidden="1" outlineLevel="1" x14ac:dyDescent="0.3">
      <c r="C1590" s="37" t="s">
        <v>809</v>
      </c>
      <c r="D1590" s="35" t="s">
        <v>767</v>
      </c>
    </row>
    <row r="1591" spans="3:4" hidden="1" outlineLevel="1" x14ac:dyDescent="0.3">
      <c r="C1591" s="37" t="s">
        <v>810</v>
      </c>
      <c r="D1591" s="35" t="s">
        <v>768</v>
      </c>
    </row>
    <row r="1592" spans="3:4" hidden="1" outlineLevel="1" x14ac:dyDescent="0.3">
      <c r="C1592" s="37" t="s">
        <v>811</v>
      </c>
      <c r="D1592" s="35" t="s">
        <v>769</v>
      </c>
    </row>
    <row r="1593" spans="3:4" hidden="1" outlineLevel="1" x14ac:dyDescent="0.3">
      <c r="C1593" s="37" t="s">
        <v>812</v>
      </c>
      <c r="D1593" s="35" t="s">
        <v>770</v>
      </c>
    </row>
    <row r="1594" spans="3:4" hidden="1" outlineLevel="1" x14ac:dyDescent="0.3">
      <c r="C1594" s="37" t="s">
        <v>813</v>
      </c>
      <c r="D1594" s="35" t="s">
        <v>771</v>
      </c>
    </row>
    <row r="1595" spans="3:4" hidden="1" outlineLevel="1" x14ac:dyDescent="0.3">
      <c r="C1595" s="37" t="s">
        <v>814</v>
      </c>
      <c r="D1595" s="35" t="s">
        <v>772</v>
      </c>
    </row>
    <row r="1596" spans="3:4" hidden="1" outlineLevel="1" x14ac:dyDescent="0.3">
      <c r="C1596" s="37" t="s">
        <v>815</v>
      </c>
      <c r="D1596" s="35" t="s">
        <v>773</v>
      </c>
    </row>
    <row r="1597" spans="3:4" hidden="1" outlineLevel="1" x14ac:dyDescent="0.3">
      <c r="C1597" s="37" t="s">
        <v>816</v>
      </c>
      <c r="D1597" s="35" t="s">
        <v>774</v>
      </c>
    </row>
    <row r="1598" spans="3:4" hidden="1" outlineLevel="1" x14ac:dyDescent="0.3">
      <c r="C1598" s="37" t="s">
        <v>817</v>
      </c>
      <c r="D1598" s="35" t="s">
        <v>775</v>
      </c>
    </row>
    <row r="1599" spans="3:4" hidden="1" outlineLevel="1" x14ac:dyDescent="0.3">
      <c r="C1599" s="37" t="s">
        <v>818</v>
      </c>
      <c r="D1599" s="35" t="s">
        <v>776</v>
      </c>
    </row>
    <row r="1600" spans="3:4" hidden="1" outlineLevel="1" x14ac:dyDescent="0.3">
      <c r="C1600" s="37" t="s">
        <v>819</v>
      </c>
      <c r="D1600" s="35" t="s">
        <v>777</v>
      </c>
    </row>
    <row r="1601" spans="2:4" collapsed="1" x14ac:dyDescent="0.3">
      <c r="B1601" s="43" t="s">
        <v>200</v>
      </c>
      <c r="C1601" t="s">
        <v>18</v>
      </c>
    </row>
    <row r="1602" spans="2:4" hidden="1" outlineLevel="1" x14ac:dyDescent="0.3">
      <c r="C1602" s="40" t="s">
        <v>779</v>
      </c>
      <c r="D1602" s="35" t="s">
        <v>745</v>
      </c>
    </row>
    <row r="1603" spans="2:4" hidden="1" outlineLevel="1" x14ac:dyDescent="0.3">
      <c r="C1603" s="41" t="s">
        <v>780</v>
      </c>
      <c r="D1603" s="42" t="s">
        <v>820</v>
      </c>
    </row>
    <row r="1604" spans="2:4" hidden="1" outlineLevel="1" x14ac:dyDescent="0.3">
      <c r="C1604" s="40" t="s">
        <v>781</v>
      </c>
      <c r="D1604" s="35" t="s">
        <v>746</v>
      </c>
    </row>
    <row r="1605" spans="2:4" hidden="1" outlineLevel="1" x14ac:dyDescent="0.3">
      <c r="C1605" s="41" t="s">
        <v>782</v>
      </c>
      <c r="D1605" s="35" t="s">
        <v>367</v>
      </c>
    </row>
    <row r="1606" spans="2:4" hidden="1" outlineLevel="1" x14ac:dyDescent="0.3">
      <c r="C1606" s="41" t="s">
        <v>785</v>
      </c>
      <c r="D1606" s="35" t="s">
        <v>68</v>
      </c>
    </row>
    <row r="1607" spans="2:4" hidden="1" outlineLevel="1" x14ac:dyDescent="0.3">
      <c r="C1607" s="41" t="s">
        <v>786</v>
      </c>
      <c r="D1607" s="35" t="s">
        <v>747</v>
      </c>
    </row>
    <row r="1608" spans="2:4" hidden="1" outlineLevel="1" x14ac:dyDescent="0.3">
      <c r="C1608" s="41" t="s">
        <v>783</v>
      </c>
      <c r="D1608" s="35" t="s">
        <v>11</v>
      </c>
    </row>
    <row r="1609" spans="2:4" hidden="1" outlineLevel="1" x14ac:dyDescent="0.3">
      <c r="C1609" s="41" t="s">
        <v>784</v>
      </c>
      <c r="D1609" s="35" t="s">
        <v>125</v>
      </c>
    </row>
    <row r="1610" spans="2:4" hidden="1" outlineLevel="1" x14ac:dyDescent="0.3">
      <c r="C1610" s="41" t="s">
        <v>787</v>
      </c>
      <c r="D1610" s="35" t="s">
        <v>748</v>
      </c>
    </row>
    <row r="1611" spans="2:4" hidden="1" outlineLevel="1" x14ac:dyDescent="0.3">
      <c r="C1611" s="37" t="s">
        <v>788</v>
      </c>
      <c r="D1611" s="35" t="s">
        <v>517</v>
      </c>
    </row>
    <row r="1612" spans="2:4" hidden="1" outlineLevel="1" x14ac:dyDescent="0.3">
      <c r="C1612" s="37" t="s">
        <v>789</v>
      </c>
      <c r="D1612" s="35" t="s">
        <v>386</v>
      </c>
    </row>
    <row r="1613" spans="2:4" hidden="1" outlineLevel="1" x14ac:dyDescent="0.3">
      <c r="C1613" s="37" t="s">
        <v>790</v>
      </c>
      <c r="D1613" s="35" t="s">
        <v>299</v>
      </c>
    </row>
    <row r="1614" spans="2:4" hidden="1" outlineLevel="1" x14ac:dyDescent="0.3">
      <c r="C1614" s="37" t="s">
        <v>791</v>
      </c>
      <c r="D1614" s="35" t="s">
        <v>749</v>
      </c>
    </row>
    <row r="1615" spans="2:4" hidden="1" outlineLevel="1" x14ac:dyDescent="0.3">
      <c r="C1615" s="37" t="s">
        <v>792</v>
      </c>
      <c r="D1615" s="35" t="s">
        <v>750</v>
      </c>
    </row>
    <row r="1616" spans="2:4" hidden="1" outlineLevel="1" x14ac:dyDescent="0.3">
      <c r="C1616" s="37" t="s">
        <v>793</v>
      </c>
      <c r="D1616" s="35" t="s">
        <v>751</v>
      </c>
    </row>
    <row r="1617" spans="3:4" hidden="1" outlineLevel="1" x14ac:dyDescent="0.3">
      <c r="C1617" s="37" t="s">
        <v>794</v>
      </c>
      <c r="D1617" s="35" t="s">
        <v>752</v>
      </c>
    </row>
    <row r="1618" spans="3:4" hidden="1" outlineLevel="1" x14ac:dyDescent="0.3">
      <c r="C1618" s="37" t="s">
        <v>795</v>
      </c>
      <c r="D1618" s="35" t="s">
        <v>753</v>
      </c>
    </row>
    <row r="1619" spans="3:4" hidden="1" outlineLevel="1" x14ac:dyDescent="0.3">
      <c r="C1619" s="37" t="s">
        <v>796</v>
      </c>
      <c r="D1619" s="35" t="s">
        <v>754</v>
      </c>
    </row>
    <row r="1620" spans="3:4" hidden="1" outlineLevel="1" x14ac:dyDescent="0.3">
      <c r="C1620" s="37" t="s">
        <v>797</v>
      </c>
      <c r="D1620" s="35" t="s">
        <v>755</v>
      </c>
    </row>
    <row r="1621" spans="3:4" hidden="1" outlineLevel="1" x14ac:dyDescent="0.3">
      <c r="C1621" s="37" t="s">
        <v>798</v>
      </c>
      <c r="D1621" s="35" t="s">
        <v>756</v>
      </c>
    </row>
    <row r="1622" spans="3:4" hidden="1" outlineLevel="1" x14ac:dyDescent="0.3">
      <c r="C1622" s="37" t="s">
        <v>799</v>
      </c>
      <c r="D1622" s="35" t="s">
        <v>757</v>
      </c>
    </row>
    <row r="1623" spans="3:4" hidden="1" outlineLevel="1" x14ac:dyDescent="0.3">
      <c r="C1623" s="37" t="s">
        <v>800</v>
      </c>
      <c r="D1623" s="35" t="s">
        <v>758</v>
      </c>
    </row>
    <row r="1624" spans="3:4" hidden="1" outlineLevel="1" x14ac:dyDescent="0.3">
      <c r="C1624" s="37" t="s">
        <v>801</v>
      </c>
      <c r="D1624" s="35" t="s">
        <v>759</v>
      </c>
    </row>
    <row r="1625" spans="3:4" hidden="1" outlineLevel="1" x14ac:dyDescent="0.3">
      <c r="C1625" s="37" t="s">
        <v>802</v>
      </c>
      <c r="D1625" s="35" t="s">
        <v>760</v>
      </c>
    </row>
    <row r="1626" spans="3:4" hidden="1" outlineLevel="1" x14ac:dyDescent="0.3">
      <c r="C1626" s="37" t="s">
        <v>803</v>
      </c>
      <c r="D1626" s="35" t="s">
        <v>761</v>
      </c>
    </row>
    <row r="1627" spans="3:4" hidden="1" outlineLevel="1" x14ac:dyDescent="0.3">
      <c r="C1627" s="37" t="s">
        <v>804</v>
      </c>
      <c r="D1627" s="35" t="s">
        <v>762</v>
      </c>
    </row>
    <row r="1628" spans="3:4" hidden="1" outlineLevel="1" x14ac:dyDescent="0.3">
      <c r="C1628" s="37" t="s">
        <v>805</v>
      </c>
      <c r="D1628" s="35" t="s">
        <v>763</v>
      </c>
    </row>
    <row r="1629" spans="3:4" hidden="1" outlineLevel="1" x14ac:dyDescent="0.3">
      <c r="C1629" s="37" t="s">
        <v>806</v>
      </c>
      <c r="D1629" s="35" t="s">
        <v>764</v>
      </c>
    </row>
    <row r="1630" spans="3:4" hidden="1" outlineLevel="1" x14ac:dyDescent="0.3">
      <c r="C1630" s="37" t="s">
        <v>807</v>
      </c>
      <c r="D1630" s="35" t="s">
        <v>765</v>
      </c>
    </row>
    <row r="1631" spans="3:4" hidden="1" outlineLevel="1" x14ac:dyDescent="0.3">
      <c r="C1631" s="37" t="s">
        <v>808</v>
      </c>
      <c r="D1631" s="35" t="s">
        <v>766</v>
      </c>
    </row>
    <row r="1632" spans="3:4" hidden="1" outlineLevel="1" x14ac:dyDescent="0.3">
      <c r="C1632" s="37" t="s">
        <v>809</v>
      </c>
      <c r="D1632" s="35" t="s">
        <v>767</v>
      </c>
    </row>
    <row r="1633" spans="2:4" hidden="1" outlineLevel="1" x14ac:dyDescent="0.3">
      <c r="C1633" s="37" t="s">
        <v>810</v>
      </c>
      <c r="D1633" s="35" t="s">
        <v>768</v>
      </c>
    </row>
    <row r="1634" spans="2:4" hidden="1" outlineLevel="1" x14ac:dyDescent="0.3">
      <c r="C1634" s="37" t="s">
        <v>811</v>
      </c>
      <c r="D1634" s="35" t="s">
        <v>769</v>
      </c>
    </row>
    <row r="1635" spans="2:4" hidden="1" outlineLevel="1" x14ac:dyDescent="0.3">
      <c r="C1635" s="37" t="s">
        <v>812</v>
      </c>
      <c r="D1635" s="35" t="s">
        <v>770</v>
      </c>
    </row>
    <row r="1636" spans="2:4" hidden="1" outlineLevel="1" x14ac:dyDescent="0.3">
      <c r="C1636" s="37" t="s">
        <v>813</v>
      </c>
      <c r="D1636" s="35" t="s">
        <v>771</v>
      </c>
    </row>
    <row r="1637" spans="2:4" hidden="1" outlineLevel="1" x14ac:dyDescent="0.3">
      <c r="C1637" s="37" t="s">
        <v>814</v>
      </c>
      <c r="D1637" s="35" t="s">
        <v>772</v>
      </c>
    </row>
    <row r="1638" spans="2:4" hidden="1" outlineLevel="1" x14ac:dyDescent="0.3">
      <c r="C1638" s="37" t="s">
        <v>815</v>
      </c>
      <c r="D1638" s="35" t="s">
        <v>773</v>
      </c>
    </row>
    <row r="1639" spans="2:4" hidden="1" outlineLevel="1" x14ac:dyDescent="0.3">
      <c r="C1639" s="37" t="s">
        <v>816</v>
      </c>
      <c r="D1639" s="35" t="s">
        <v>774</v>
      </c>
    </row>
    <row r="1640" spans="2:4" hidden="1" outlineLevel="1" x14ac:dyDescent="0.3">
      <c r="C1640" s="37" t="s">
        <v>817</v>
      </c>
      <c r="D1640" s="35" t="s">
        <v>775</v>
      </c>
    </row>
    <row r="1641" spans="2:4" hidden="1" outlineLevel="1" x14ac:dyDescent="0.3">
      <c r="C1641" s="37" t="s">
        <v>818</v>
      </c>
      <c r="D1641" s="35" t="s">
        <v>776</v>
      </c>
    </row>
    <row r="1642" spans="2:4" hidden="1" outlineLevel="1" x14ac:dyDescent="0.3">
      <c r="C1642" s="37" t="s">
        <v>819</v>
      </c>
      <c r="D1642" s="35" t="s">
        <v>777</v>
      </c>
    </row>
    <row r="1643" spans="2:4" collapsed="1" x14ac:dyDescent="0.3">
      <c r="B1643" s="43" t="s">
        <v>96</v>
      </c>
      <c r="C1643" t="s">
        <v>11</v>
      </c>
    </row>
    <row r="1644" spans="2:4" hidden="1" outlineLevel="1" x14ac:dyDescent="0.3">
      <c r="C1644" s="40" t="s">
        <v>779</v>
      </c>
      <c r="D1644" s="35" t="s">
        <v>745</v>
      </c>
    </row>
    <row r="1645" spans="2:4" hidden="1" outlineLevel="1" x14ac:dyDescent="0.3">
      <c r="C1645" s="41" t="s">
        <v>780</v>
      </c>
      <c r="D1645" s="42" t="s">
        <v>820</v>
      </c>
    </row>
    <row r="1646" spans="2:4" hidden="1" outlineLevel="1" x14ac:dyDescent="0.3">
      <c r="C1646" s="40" t="s">
        <v>781</v>
      </c>
      <c r="D1646" s="35" t="s">
        <v>746</v>
      </c>
    </row>
    <row r="1647" spans="2:4" hidden="1" outlineLevel="1" x14ac:dyDescent="0.3">
      <c r="C1647" s="41" t="s">
        <v>782</v>
      </c>
      <c r="D1647" s="35" t="s">
        <v>367</v>
      </c>
    </row>
    <row r="1648" spans="2:4" hidden="1" outlineLevel="1" x14ac:dyDescent="0.3">
      <c r="C1648" s="41" t="s">
        <v>785</v>
      </c>
      <c r="D1648" s="35" t="s">
        <v>68</v>
      </c>
    </row>
    <row r="1649" spans="3:4" hidden="1" outlineLevel="1" x14ac:dyDescent="0.3">
      <c r="C1649" s="41" t="s">
        <v>786</v>
      </c>
      <c r="D1649" s="35" t="s">
        <v>747</v>
      </c>
    </row>
    <row r="1650" spans="3:4" hidden="1" outlineLevel="1" x14ac:dyDescent="0.3">
      <c r="C1650" s="41" t="s">
        <v>783</v>
      </c>
      <c r="D1650" s="35" t="s">
        <v>11</v>
      </c>
    </row>
    <row r="1651" spans="3:4" hidden="1" outlineLevel="1" x14ac:dyDescent="0.3">
      <c r="C1651" s="41" t="s">
        <v>784</v>
      </c>
      <c r="D1651" s="35" t="s">
        <v>125</v>
      </c>
    </row>
    <row r="1652" spans="3:4" hidden="1" outlineLevel="1" x14ac:dyDescent="0.3">
      <c r="C1652" s="41" t="s">
        <v>787</v>
      </c>
      <c r="D1652" s="35" t="s">
        <v>748</v>
      </c>
    </row>
    <row r="1653" spans="3:4" hidden="1" outlineLevel="1" x14ac:dyDescent="0.3">
      <c r="C1653" s="37" t="s">
        <v>788</v>
      </c>
      <c r="D1653" s="35" t="s">
        <v>517</v>
      </c>
    </row>
    <row r="1654" spans="3:4" hidden="1" outlineLevel="1" x14ac:dyDescent="0.3">
      <c r="C1654" s="37" t="s">
        <v>789</v>
      </c>
      <c r="D1654" s="35" t="s">
        <v>386</v>
      </c>
    </row>
    <row r="1655" spans="3:4" hidden="1" outlineLevel="1" x14ac:dyDescent="0.3">
      <c r="C1655" s="37" t="s">
        <v>790</v>
      </c>
      <c r="D1655" s="35" t="s">
        <v>299</v>
      </c>
    </row>
    <row r="1656" spans="3:4" hidden="1" outlineLevel="1" x14ac:dyDescent="0.3">
      <c r="C1656" s="37" t="s">
        <v>791</v>
      </c>
      <c r="D1656" s="35" t="s">
        <v>749</v>
      </c>
    </row>
    <row r="1657" spans="3:4" hidden="1" outlineLevel="1" x14ac:dyDescent="0.3">
      <c r="C1657" s="37" t="s">
        <v>792</v>
      </c>
      <c r="D1657" s="35" t="s">
        <v>750</v>
      </c>
    </row>
    <row r="1658" spans="3:4" hidden="1" outlineLevel="1" x14ac:dyDescent="0.3">
      <c r="C1658" s="37" t="s">
        <v>793</v>
      </c>
      <c r="D1658" s="35" t="s">
        <v>751</v>
      </c>
    </row>
    <row r="1659" spans="3:4" hidden="1" outlineLevel="1" x14ac:dyDescent="0.3">
      <c r="C1659" s="37" t="s">
        <v>794</v>
      </c>
      <c r="D1659" s="35" t="s">
        <v>752</v>
      </c>
    </row>
    <row r="1660" spans="3:4" hidden="1" outlineLevel="1" x14ac:dyDescent="0.3">
      <c r="C1660" s="37" t="s">
        <v>795</v>
      </c>
      <c r="D1660" s="35" t="s">
        <v>753</v>
      </c>
    </row>
    <row r="1661" spans="3:4" hidden="1" outlineLevel="1" x14ac:dyDescent="0.3">
      <c r="C1661" s="37" t="s">
        <v>796</v>
      </c>
      <c r="D1661" s="35" t="s">
        <v>754</v>
      </c>
    </row>
    <row r="1662" spans="3:4" hidden="1" outlineLevel="1" x14ac:dyDescent="0.3">
      <c r="C1662" s="37" t="s">
        <v>797</v>
      </c>
      <c r="D1662" s="35" t="s">
        <v>755</v>
      </c>
    </row>
    <row r="1663" spans="3:4" hidden="1" outlineLevel="1" x14ac:dyDescent="0.3">
      <c r="C1663" s="37" t="s">
        <v>798</v>
      </c>
      <c r="D1663" s="35" t="s">
        <v>756</v>
      </c>
    </row>
    <row r="1664" spans="3:4" hidden="1" outlineLevel="1" x14ac:dyDescent="0.3">
      <c r="C1664" s="37" t="s">
        <v>799</v>
      </c>
      <c r="D1664" s="35" t="s">
        <v>757</v>
      </c>
    </row>
    <row r="1665" spans="3:4" hidden="1" outlineLevel="1" x14ac:dyDescent="0.3">
      <c r="C1665" s="37" t="s">
        <v>800</v>
      </c>
      <c r="D1665" s="35" t="s">
        <v>758</v>
      </c>
    </row>
    <row r="1666" spans="3:4" hidden="1" outlineLevel="1" x14ac:dyDescent="0.3">
      <c r="C1666" s="37" t="s">
        <v>801</v>
      </c>
      <c r="D1666" s="35" t="s">
        <v>759</v>
      </c>
    </row>
    <row r="1667" spans="3:4" hidden="1" outlineLevel="1" x14ac:dyDescent="0.3">
      <c r="C1667" s="37" t="s">
        <v>802</v>
      </c>
      <c r="D1667" s="35" t="s">
        <v>760</v>
      </c>
    </row>
    <row r="1668" spans="3:4" hidden="1" outlineLevel="1" x14ac:dyDescent="0.3">
      <c r="C1668" s="37" t="s">
        <v>803</v>
      </c>
      <c r="D1668" s="35" t="s">
        <v>761</v>
      </c>
    </row>
    <row r="1669" spans="3:4" hidden="1" outlineLevel="1" x14ac:dyDescent="0.3">
      <c r="C1669" s="37" t="s">
        <v>804</v>
      </c>
      <c r="D1669" s="35" t="s">
        <v>762</v>
      </c>
    </row>
    <row r="1670" spans="3:4" hidden="1" outlineLevel="1" x14ac:dyDescent="0.3">
      <c r="C1670" s="37" t="s">
        <v>805</v>
      </c>
      <c r="D1670" s="35" t="s">
        <v>763</v>
      </c>
    </row>
    <row r="1671" spans="3:4" hidden="1" outlineLevel="1" x14ac:dyDescent="0.3">
      <c r="C1671" s="37" t="s">
        <v>806</v>
      </c>
      <c r="D1671" s="35" t="s">
        <v>764</v>
      </c>
    </row>
    <row r="1672" spans="3:4" hidden="1" outlineLevel="1" x14ac:dyDescent="0.3">
      <c r="C1672" s="37" t="s">
        <v>807</v>
      </c>
      <c r="D1672" s="35" t="s">
        <v>765</v>
      </c>
    </row>
    <row r="1673" spans="3:4" hidden="1" outlineLevel="1" x14ac:dyDescent="0.3">
      <c r="C1673" s="37" t="s">
        <v>808</v>
      </c>
      <c r="D1673" s="35" t="s">
        <v>766</v>
      </c>
    </row>
    <row r="1674" spans="3:4" hidden="1" outlineLevel="1" x14ac:dyDescent="0.3">
      <c r="C1674" s="37" t="s">
        <v>809</v>
      </c>
      <c r="D1674" s="35" t="s">
        <v>767</v>
      </c>
    </row>
    <row r="1675" spans="3:4" hidden="1" outlineLevel="1" x14ac:dyDescent="0.3">
      <c r="C1675" s="37" t="s">
        <v>810</v>
      </c>
      <c r="D1675" s="35" t="s">
        <v>768</v>
      </c>
    </row>
    <row r="1676" spans="3:4" hidden="1" outlineLevel="1" x14ac:dyDescent="0.3">
      <c r="C1676" s="37" t="s">
        <v>811</v>
      </c>
      <c r="D1676" s="35" t="s">
        <v>769</v>
      </c>
    </row>
    <row r="1677" spans="3:4" hidden="1" outlineLevel="1" x14ac:dyDescent="0.3">
      <c r="C1677" s="37" t="s">
        <v>812</v>
      </c>
      <c r="D1677" s="35" t="s">
        <v>770</v>
      </c>
    </row>
    <row r="1678" spans="3:4" hidden="1" outlineLevel="1" x14ac:dyDescent="0.3">
      <c r="C1678" s="37" t="s">
        <v>813</v>
      </c>
      <c r="D1678" s="35" t="s">
        <v>771</v>
      </c>
    </row>
    <row r="1679" spans="3:4" hidden="1" outlineLevel="1" x14ac:dyDescent="0.3">
      <c r="C1679" s="37" t="s">
        <v>814</v>
      </c>
      <c r="D1679" s="35" t="s">
        <v>772</v>
      </c>
    </row>
    <row r="1680" spans="3:4" hidden="1" outlineLevel="1" x14ac:dyDescent="0.3">
      <c r="C1680" s="37" t="s">
        <v>815</v>
      </c>
      <c r="D1680" s="35" t="s">
        <v>773</v>
      </c>
    </row>
    <row r="1681" spans="2:4" hidden="1" outlineLevel="1" x14ac:dyDescent="0.3">
      <c r="C1681" s="37" t="s">
        <v>816</v>
      </c>
      <c r="D1681" s="35" t="s">
        <v>774</v>
      </c>
    </row>
    <row r="1682" spans="2:4" hidden="1" outlineLevel="1" x14ac:dyDescent="0.3">
      <c r="C1682" s="37" t="s">
        <v>817</v>
      </c>
      <c r="D1682" s="35" t="s">
        <v>775</v>
      </c>
    </row>
    <row r="1683" spans="2:4" hidden="1" outlineLevel="1" x14ac:dyDescent="0.3">
      <c r="C1683" s="37" t="s">
        <v>818</v>
      </c>
      <c r="D1683" s="35" t="s">
        <v>776</v>
      </c>
    </row>
    <row r="1684" spans="2:4" hidden="1" outlineLevel="1" x14ac:dyDescent="0.3">
      <c r="C1684" s="37" t="s">
        <v>819</v>
      </c>
      <c r="D1684" s="35" t="s">
        <v>777</v>
      </c>
    </row>
    <row r="1685" spans="2:4" collapsed="1" x14ac:dyDescent="0.3">
      <c r="B1685" s="43" t="s">
        <v>64</v>
      </c>
      <c r="C1685" t="s">
        <v>11</v>
      </c>
    </row>
    <row r="1686" spans="2:4" hidden="1" outlineLevel="1" x14ac:dyDescent="0.3">
      <c r="C1686" s="40" t="s">
        <v>779</v>
      </c>
      <c r="D1686" s="35" t="s">
        <v>745</v>
      </c>
    </row>
    <row r="1687" spans="2:4" hidden="1" outlineLevel="1" x14ac:dyDescent="0.3">
      <c r="C1687" s="41" t="s">
        <v>780</v>
      </c>
      <c r="D1687" s="42" t="s">
        <v>820</v>
      </c>
    </row>
    <row r="1688" spans="2:4" hidden="1" outlineLevel="1" x14ac:dyDescent="0.3">
      <c r="C1688" s="40" t="s">
        <v>781</v>
      </c>
      <c r="D1688" s="35" t="s">
        <v>746</v>
      </c>
    </row>
    <row r="1689" spans="2:4" hidden="1" outlineLevel="1" x14ac:dyDescent="0.3">
      <c r="C1689" s="41" t="s">
        <v>782</v>
      </c>
      <c r="D1689" s="35" t="s">
        <v>367</v>
      </c>
    </row>
    <row r="1690" spans="2:4" hidden="1" outlineLevel="1" x14ac:dyDescent="0.3">
      <c r="C1690" s="41" t="s">
        <v>785</v>
      </c>
      <c r="D1690" s="35" t="s">
        <v>68</v>
      </c>
    </row>
    <row r="1691" spans="2:4" hidden="1" outlineLevel="1" x14ac:dyDescent="0.3">
      <c r="C1691" s="41" t="s">
        <v>786</v>
      </c>
      <c r="D1691" s="35" t="s">
        <v>747</v>
      </c>
    </row>
    <row r="1692" spans="2:4" hidden="1" outlineLevel="1" x14ac:dyDescent="0.3">
      <c r="C1692" s="41" t="s">
        <v>783</v>
      </c>
      <c r="D1692" s="35" t="s">
        <v>11</v>
      </c>
    </row>
    <row r="1693" spans="2:4" hidden="1" outlineLevel="1" x14ac:dyDescent="0.3">
      <c r="C1693" s="41" t="s">
        <v>784</v>
      </c>
      <c r="D1693" s="35" t="s">
        <v>125</v>
      </c>
    </row>
    <row r="1694" spans="2:4" hidden="1" outlineLevel="1" x14ac:dyDescent="0.3">
      <c r="C1694" s="41" t="s">
        <v>787</v>
      </c>
      <c r="D1694" s="35" t="s">
        <v>748</v>
      </c>
    </row>
    <row r="1695" spans="2:4" hidden="1" outlineLevel="1" x14ac:dyDescent="0.3">
      <c r="C1695" s="37" t="s">
        <v>788</v>
      </c>
      <c r="D1695" s="35" t="s">
        <v>517</v>
      </c>
    </row>
    <row r="1696" spans="2:4" hidden="1" outlineLevel="1" x14ac:dyDescent="0.3">
      <c r="C1696" s="37" t="s">
        <v>789</v>
      </c>
      <c r="D1696" s="35" t="s">
        <v>386</v>
      </c>
    </row>
    <row r="1697" spans="3:4" hidden="1" outlineLevel="1" x14ac:dyDescent="0.3">
      <c r="C1697" s="37" t="s">
        <v>790</v>
      </c>
      <c r="D1697" s="35" t="s">
        <v>299</v>
      </c>
    </row>
    <row r="1698" spans="3:4" hidden="1" outlineLevel="1" x14ac:dyDescent="0.3">
      <c r="C1698" s="37" t="s">
        <v>791</v>
      </c>
      <c r="D1698" s="35" t="s">
        <v>749</v>
      </c>
    </row>
    <row r="1699" spans="3:4" hidden="1" outlineLevel="1" x14ac:dyDescent="0.3">
      <c r="C1699" s="37" t="s">
        <v>792</v>
      </c>
      <c r="D1699" s="35" t="s">
        <v>750</v>
      </c>
    </row>
    <row r="1700" spans="3:4" hidden="1" outlineLevel="1" x14ac:dyDescent="0.3">
      <c r="C1700" s="37" t="s">
        <v>793</v>
      </c>
      <c r="D1700" s="35" t="s">
        <v>751</v>
      </c>
    </row>
    <row r="1701" spans="3:4" hidden="1" outlineLevel="1" x14ac:dyDescent="0.3">
      <c r="C1701" s="37" t="s">
        <v>794</v>
      </c>
      <c r="D1701" s="35" t="s">
        <v>752</v>
      </c>
    </row>
    <row r="1702" spans="3:4" hidden="1" outlineLevel="1" x14ac:dyDescent="0.3">
      <c r="C1702" s="37" t="s">
        <v>795</v>
      </c>
      <c r="D1702" s="35" t="s">
        <v>753</v>
      </c>
    </row>
    <row r="1703" spans="3:4" hidden="1" outlineLevel="1" x14ac:dyDescent="0.3">
      <c r="C1703" s="37" t="s">
        <v>796</v>
      </c>
      <c r="D1703" s="35" t="s">
        <v>754</v>
      </c>
    </row>
    <row r="1704" spans="3:4" hidden="1" outlineLevel="1" x14ac:dyDescent="0.3">
      <c r="C1704" s="37" t="s">
        <v>797</v>
      </c>
      <c r="D1704" s="35" t="s">
        <v>755</v>
      </c>
    </row>
    <row r="1705" spans="3:4" hidden="1" outlineLevel="1" x14ac:dyDescent="0.3">
      <c r="C1705" s="37" t="s">
        <v>798</v>
      </c>
      <c r="D1705" s="35" t="s">
        <v>756</v>
      </c>
    </row>
    <row r="1706" spans="3:4" hidden="1" outlineLevel="1" x14ac:dyDescent="0.3">
      <c r="C1706" s="37" t="s">
        <v>799</v>
      </c>
      <c r="D1706" s="35" t="s">
        <v>757</v>
      </c>
    </row>
    <row r="1707" spans="3:4" hidden="1" outlineLevel="1" x14ac:dyDescent="0.3">
      <c r="C1707" s="37" t="s">
        <v>800</v>
      </c>
      <c r="D1707" s="35" t="s">
        <v>758</v>
      </c>
    </row>
    <row r="1708" spans="3:4" hidden="1" outlineLevel="1" x14ac:dyDescent="0.3">
      <c r="C1708" s="37" t="s">
        <v>801</v>
      </c>
      <c r="D1708" s="35" t="s">
        <v>759</v>
      </c>
    </row>
    <row r="1709" spans="3:4" hidden="1" outlineLevel="1" x14ac:dyDescent="0.3">
      <c r="C1709" s="37" t="s">
        <v>802</v>
      </c>
      <c r="D1709" s="35" t="s">
        <v>760</v>
      </c>
    </row>
    <row r="1710" spans="3:4" hidden="1" outlineLevel="1" x14ac:dyDescent="0.3">
      <c r="C1710" s="37" t="s">
        <v>803</v>
      </c>
      <c r="D1710" s="35" t="s">
        <v>761</v>
      </c>
    </row>
    <row r="1711" spans="3:4" hidden="1" outlineLevel="1" x14ac:dyDescent="0.3">
      <c r="C1711" s="37" t="s">
        <v>804</v>
      </c>
      <c r="D1711" s="35" t="s">
        <v>762</v>
      </c>
    </row>
    <row r="1712" spans="3:4" hidden="1" outlineLevel="1" x14ac:dyDescent="0.3">
      <c r="C1712" s="37" t="s">
        <v>805</v>
      </c>
      <c r="D1712" s="35" t="s">
        <v>763</v>
      </c>
    </row>
    <row r="1713" spans="2:4" hidden="1" outlineLevel="1" x14ac:dyDescent="0.3">
      <c r="C1713" s="37" t="s">
        <v>806</v>
      </c>
      <c r="D1713" s="35" t="s">
        <v>764</v>
      </c>
    </row>
    <row r="1714" spans="2:4" hidden="1" outlineLevel="1" x14ac:dyDescent="0.3">
      <c r="C1714" s="37" t="s">
        <v>807</v>
      </c>
      <c r="D1714" s="35" t="s">
        <v>765</v>
      </c>
    </row>
    <row r="1715" spans="2:4" hidden="1" outlineLevel="1" x14ac:dyDescent="0.3">
      <c r="C1715" s="37" t="s">
        <v>808</v>
      </c>
      <c r="D1715" s="35" t="s">
        <v>766</v>
      </c>
    </row>
    <row r="1716" spans="2:4" hidden="1" outlineLevel="1" x14ac:dyDescent="0.3">
      <c r="C1716" s="37" t="s">
        <v>809</v>
      </c>
      <c r="D1716" s="35" t="s">
        <v>767</v>
      </c>
    </row>
    <row r="1717" spans="2:4" hidden="1" outlineLevel="1" x14ac:dyDescent="0.3">
      <c r="C1717" s="37" t="s">
        <v>810</v>
      </c>
      <c r="D1717" s="35" t="s">
        <v>768</v>
      </c>
    </row>
    <row r="1718" spans="2:4" hidden="1" outlineLevel="1" x14ac:dyDescent="0.3">
      <c r="C1718" s="37" t="s">
        <v>811</v>
      </c>
      <c r="D1718" s="35" t="s">
        <v>769</v>
      </c>
    </row>
    <row r="1719" spans="2:4" hidden="1" outlineLevel="1" x14ac:dyDescent="0.3">
      <c r="C1719" s="37" t="s">
        <v>812</v>
      </c>
      <c r="D1719" s="35" t="s">
        <v>770</v>
      </c>
    </row>
    <row r="1720" spans="2:4" hidden="1" outlineLevel="1" x14ac:dyDescent="0.3">
      <c r="C1720" s="37" t="s">
        <v>813</v>
      </c>
      <c r="D1720" s="35" t="s">
        <v>771</v>
      </c>
    </row>
    <row r="1721" spans="2:4" hidden="1" outlineLevel="1" x14ac:dyDescent="0.3">
      <c r="C1721" s="37" t="s">
        <v>814</v>
      </c>
      <c r="D1721" s="35" t="s">
        <v>772</v>
      </c>
    </row>
    <row r="1722" spans="2:4" hidden="1" outlineLevel="1" x14ac:dyDescent="0.3">
      <c r="C1722" s="37" t="s">
        <v>815</v>
      </c>
      <c r="D1722" s="35" t="s">
        <v>773</v>
      </c>
    </row>
    <row r="1723" spans="2:4" hidden="1" outlineLevel="1" x14ac:dyDescent="0.3">
      <c r="C1723" s="37" t="s">
        <v>816</v>
      </c>
      <c r="D1723" s="35" t="s">
        <v>774</v>
      </c>
    </row>
    <row r="1724" spans="2:4" hidden="1" outlineLevel="1" x14ac:dyDescent="0.3">
      <c r="C1724" s="37" t="s">
        <v>817</v>
      </c>
      <c r="D1724" s="35" t="s">
        <v>775</v>
      </c>
    </row>
    <row r="1725" spans="2:4" hidden="1" outlineLevel="1" x14ac:dyDescent="0.3">
      <c r="C1725" s="37" t="s">
        <v>818</v>
      </c>
      <c r="D1725" s="35" t="s">
        <v>776</v>
      </c>
    </row>
    <row r="1726" spans="2:4" hidden="1" outlineLevel="1" x14ac:dyDescent="0.3">
      <c r="C1726" s="37" t="s">
        <v>819</v>
      </c>
      <c r="D1726" s="35" t="s">
        <v>777</v>
      </c>
    </row>
    <row r="1727" spans="2:4" collapsed="1" x14ac:dyDescent="0.3">
      <c r="B1727" s="43" t="s">
        <v>398</v>
      </c>
      <c r="C1727" t="s">
        <v>302</v>
      </c>
    </row>
    <row r="1728" spans="2:4" hidden="1" outlineLevel="1" x14ac:dyDescent="0.3">
      <c r="C1728" s="40" t="s">
        <v>779</v>
      </c>
      <c r="D1728" s="35" t="s">
        <v>745</v>
      </c>
    </row>
    <row r="1729" spans="3:4" hidden="1" outlineLevel="1" x14ac:dyDescent="0.3">
      <c r="C1729" s="41" t="s">
        <v>780</v>
      </c>
      <c r="D1729" s="42" t="s">
        <v>820</v>
      </c>
    </row>
    <row r="1730" spans="3:4" hidden="1" outlineLevel="1" x14ac:dyDescent="0.3">
      <c r="C1730" s="40" t="s">
        <v>781</v>
      </c>
      <c r="D1730" s="35" t="s">
        <v>746</v>
      </c>
    </row>
    <row r="1731" spans="3:4" hidden="1" outlineLevel="1" x14ac:dyDescent="0.3">
      <c r="C1731" s="41" t="s">
        <v>782</v>
      </c>
      <c r="D1731" s="35" t="s">
        <v>367</v>
      </c>
    </row>
    <row r="1732" spans="3:4" hidden="1" outlineLevel="1" x14ac:dyDescent="0.3">
      <c r="C1732" s="41" t="s">
        <v>785</v>
      </c>
      <c r="D1732" s="35" t="s">
        <v>68</v>
      </c>
    </row>
    <row r="1733" spans="3:4" hidden="1" outlineLevel="1" x14ac:dyDescent="0.3">
      <c r="C1733" s="41" t="s">
        <v>786</v>
      </c>
      <c r="D1733" s="35" t="s">
        <v>747</v>
      </c>
    </row>
    <row r="1734" spans="3:4" hidden="1" outlineLevel="1" x14ac:dyDescent="0.3">
      <c r="C1734" s="41" t="s">
        <v>783</v>
      </c>
      <c r="D1734" s="35" t="s">
        <v>11</v>
      </c>
    </row>
    <row r="1735" spans="3:4" hidden="1" outlineLevel="1" x14ac:dyDescent="0.3">
      <c r="C1735" s="41" t="s">
        <v>784</v>
      </c>
      <c r="D1735" s="35" t="s">
        <v>125</v>
      </c>
    </row>
    <row r="1736" spans="3:4" hidden="1" outlineLevel="1" x14ac:dyDescent="0.3">
      <c r="C1736" s="41" t="s">
        <v>787</v>
      </c>
      <c r="D1736" s="35" t="s">
        <v>748</v>
      </c>
    </row>
    <row r="1737" spans="3:4" hidden="1" outlineLevel="1" x14ac:dyDescent="0.3">
      <c r="C1737" s="37" t="s">
        <v>788</v>
      </c>
      <c r="D1737" s="35" t="s">
        <v>517</v>
      </c>
    </row>
    <row r="1738" spans="3:4" hidden="1" outlineLevel="1" x14ac:dyDescent="0.3">
      <c r="C1738" s="37" t="s">
        <v>789</v>
      </c>
      <c r="D1738" s="35" t="s">
        <v>386</v>
      </c>
    </row>
    <row r="1739" spans="3:4" hidden="1" outlineLevel="1" x14ac:dyDescent="0.3">
      <c r="C1739" s="37" t="s">
        <v>790</v>
      </c>
      <c r="D1739" s="35" t="s">
        <v>299</v>
      </c>
    </row>
    <row r="1740" spans="3:4" hidden="1" outlineLevel="1" x14ac:dyDescent="0.3">
      <c r="C1740" s="37" t="s">
        <v>791</v>
      </c>
      <c r="D1740" s="35" t="s">
        <v>749</v>
      </c>
    </row>
    <row r="1741" spans="3:4" hidden="1" outlineLevel="1" x14ac:dyDescent="0.3">
      <c r="C1741" s="37" t="s">
        <v>792</v>
      </c>
      <c r="D1741" s="35" t="s">
        <v>750</v>
      </c>
    </row>
    <row r="1742" spans="3:4" hidden="1" outlineLevel="1" x14ac:dyDescent="0.3">
      <c r="C1742" s="37" t="s">
        <v>793</v>
      </c>
      <c r="D1742" s="35" t="s">
        <v>751</v>
      </c>
    </row>
    <row r="1743" spans="3:4" hidden="1" outlineLevel="1" x14ac:dyDescent="0.3">
      <c r="C1743" s="37" t="s">
        <v>794</v>
      </c>
      <c r="D1743" s="35" t="s">
        <v>752</v>
      </c>
    </row>
    <row r="1744" spans="3:4" hidden="1" outlineLevel="1" x14ac:dyDescent="0.3">
      <c r="C1744" s="37" t="s">
        <v>795</v>
      </c>
      <c r="D1744" s="35" t="s">
        <v>753</v>
      </c>
    </row>
    <row r="1745" spans="3:4" hidden="1" outlineLevel="1" x14ac:dyDescent="0.3">
      <c r="C1745" s="37" t="s">
        <v>796</v>
      </c>
      <c r="D1745" s="35" t="s">
        <v>754</v>
      </c>
    </row>
    <row r="1746" spans="3:4" hidden="1" outlineLevel="1" x14ac:dyDescent="0.3">
      <c r="C1746" s="37" t="s">
        <v>797</v>
      </c>
      <c r="D1746" s="35" t="s">
        <v>755</v>
      </c>
    </row>
    <row r="1747" spans="3:4" hidden="1" outlineLevel="1" x14ac:dyDescent="0.3">
      <c r="C1747" s="37" t="s">
        <v>798</v>
      </c>
      <c r="D1747" s="35" t="s">
        <v>756</v>
      </c>
    </row>
    <row r="1748" spans="3:4" hidden="1" outlineLevel="1" x14ac:dyDescent="0.3">
      <c r="C1748" s="37" t="s">
        <v>799</v>
      </c>
      <c r="D1748" s="35" t="s">
        <v>757</v>
      </c>
    </row>
    <row r="1749" spans="3:4" hidden="1" outlineLevel="1" x14ac:dyDescent="0.3">
      <c r="C1749" s="37" t="s">
        <v>800</v>
      </c>
      <c r="D1749" s="35" t="s">
        <v>758</v>
      </c>
    </row>
    <row r="1750" spans="3:4" hidden="1" outlineLevel="1" x14ac:dyDescent="0.3">
      <c r="C1750" s="37" t="s">
        <v>801</v>
      </c>
      <c r="D1750" s="35" t="s">
        <v>759</v>
      </c>
    </row>
    <row r="1751" spans="3:4" hidden="1" outlineLevel="1" x14ac:dyDescent="0.3">
      <c r="C1751" s="37" t="s">
        <v>802</v>
      </c>
      <c r="D1751" s="35" t="s">
        <v>760</v>
      </c>
    </row>
    <row r="1752" spans="3:4" hidden="1" outlineLevel="1" x14ac:dyDescent="0.3">
      <c r="C1752" s="37" t="s">
        <v>803</v>
      </c>
      <c r="D1752" s="35" t="s">
        <v>761</v>
      </c>
    </row>
    <row r="1753" spans="3:4" hidden="1" outlineLevel="1" x14ac:dyDescent="0.3">
      <c r="C1753" s="37" t="s">
        <v>804</v>
      </c>
      <c r="D1753" s="35" t="s">
        <v>762</v>
      </c>
    </row>
    <row r="1754" spans="3:4" hidden="1" outlineLevel="1" x14ac:dyDescent="0.3">
      <c r="C1754" s="37" t="s">
        <v>805</v>
      </c>
      <c r="D1754" s="35" t="s">
        <v>763</v>
      </c>
    </row>
    <row r="1755" spans="3:4" hidden="1" outlineLevel="1" x14ac:dyDescent="0.3">
      <c r="C1755" s="37" t="s">
        <v>806</v>
      </c>
      <c r="D1755" s="35" t="s">
        <v>764</v>
      </c>
    </row>
    <row r="1756" spans="3:4" hidden="1" outlineLevel="1" x14ac:dyDescent="0.3">
      <c r="C1756" s="37" t="s">
        <v>807</v>
      </c>
      <c r="D1756" s="35" t="s">
        <v>765</v>
      </c>
    </row>
    <row r="1757" spans="3:4" hidden="1" outlineLevel="1" x14ac:dyDescent="0.3">
      <c r="C1757" s="37" t="s">
        <v>808</v>
      </c>
      <c r="D1757" s="35" t="s">
        <v>766</v>
      </c>
    </row>
    <row r="1758" spans="3:4" hidden="1" outlineLevel="1" x14ac:dyDescent="0.3">
      <c r="C1758" s="37" t="s">
        <v>809</v>
      </c>
      <c r="D1758" s="35" t="s">
        <v>767</v>
      </c>
    </row>
    <row r="1759" spans="3:4" hidden="1" outlineLevel="1" x14ac:dyDescent="0.3">
      <c r="C1759" s="37" t="s">
        <v>810</v>
      </c>
      <c r="D1759" s="35" t="s">
        <v>768</v>
      </c>
    </row>
    <row r="1760" spans="3:4" hidden="1" outlineLevel="1" x14ac:dyDescent="0.3">
      <c r="C1760" s="37" t="s">
        <v>811</v>
      </c>
      <c r="D1760" s="35" t="s">
        <v>769</v>
      </c>
    </row>
    <row r="1761" spans="2:4" hidden="1" outlineLevel="1" x14ac:dyDescent="0.3">
      <c r="C1761" s="37" t="s">
        <v>812</v>
      </c>
      <c r="D1761" s="35" t="s">
        <v>770</v>
      </c>
    </row>
    <row r="1762" spans="2:4" hidden="1" outlineLevel="1" x14ac:dyDescent="0.3">
      <c r="C1762" s="37" t="s">
        <v>813</v>
      </c>
      <c r="D1762" s="35" t="s">
        <v>771</v>
      </c>
    </row>
    <row r="1763" spans="2:4" hidden="1" outlineLevel="1" x14ac:dyDescent="0.3">
      <c r="C1763" s="37" t="s">
        <v>814</v>
      </c>
      <c r="D1763" s="35" t="s">
        <v>772</v>
      </c>
    </row>
    <row r="1764" spans="2:4" hidden="1" outlineLevel="1" x14ac:dyDescent="0.3">
      <c r="C1764" s="37" t="s">
        <v>815</v>
      </c>
      <c r="D1764" s="35" t="s">
        <v>773</v>
      </c>
    </row>
    <row r="1765" spans="2:4" hidden="1" outlineLevel="1" x14ac:dyDescent="0.3">
      <c r="C1765" s="37" t="s">
        <v>816</v>
      </c>
      <c r="D1765" s="35" t="s">
        <v>774</v>
      </c>
    </row>
    <row r="1766" spans="2:4" hidden="1" outlineLevel="1" x14ac:dyDescent="0.3">
      <c r="C1766" s="37" t="s">
        <v>817</v>
      </c>
      <c r="D1766" s="35" t="s">
        <v>775</v>
      </c>
    </row>
    <row r="1767" spans="2:4" hidden="1" outlineLevel="1" x14ac:dyDescent="0.3">
      <c r="C1767" s="37" t="s">
        <v>818</v>
      </c>
      <c r="D1767" s="35" t="s">
        <v>776</v>
      </c>
    </row>
    <row r="1768" spans="2:4" hidden="1" outlineLevel="1" x14ac:dyDescent="0.3">
      <c r="C1768" s="37" t="s">
        <v>819</v>
      </c>
      <c r="D1768" s="35" t="s">
        <v>777</v>
      </c>
    </row>
    <row r="1769" spans="2:4" collapsed="1" x14ac:dyDescent="0.3">
      <c r="B1769" s="43" t="s">
        <v>352</v>
      </c>
      <c r="C1769" t="s">
        <v>353</v>
      </c>
    </row>
    <row r="1770" spans="2:4" hidden="1" outlineLevel="1" x14ac:dyDescent="0.3">
      <c r="C1770" s="40" t="s">
        <v>779</v>
      </c>
      <c r="D1770" s="35" t="s">
        <v>745</v>
      </c>
    </row>
    <row r="1771" spans="2:4" hidden="1" outlineLevel="1" x14ac:dyDescent="0.3">
      <c r="C1771" s="41" t="s">
        <v>780</v>
      </c>
      <c r="D1771" s="42" t="s">
        <v>820</v>
      </c>
    </row>
    <row r="1772" spans="2:4" hidden="1" outlineLevel="1" x14ac:dyDescent="0.3">
      <c r="C1772" s="40" t="s">
        <v>781</v>
      </c>
      <c r="D1772" s="35" t="s">
        <v>746</v>
      </c>
    </row>
    <row r="1773" spans="2:4" hidden="1" outlineLevel="1" x14ac:dyDescent="0.3">
      <c r="C1773" s="41" t="s">
        <v>782</v>
      </c>
      <c r="D1773" s="35" t="s">
        <v>367</v>
      </c>
    </row>
    <row r="1774" spans="2:4" hidden="1" outlineLevel="1" x14ac:dyDescent="0.3">
      <c r="C1774" s="41" t="s">
        <v>785</v>
      </c>
      <c r="D1774" s="35" t="s">
        <v>68</v>
      </c>
    </row>
    <row r="1775" spans="2:4" hidden="1" outlineLevel="1" x14ac:dyDescent="0.3">
      <c r="C1775" s="41" t="s">
        <v>786</v>
      </c>
      <c r="D1775" s="35" t="s">
        <v>747</v>
      </c>
    </row>
    <row r="1776" spans="2:4" hidden="1" outlineLevel="1" x14ac:dyDescent="0.3">
      <c r="C1776" s="41" t="s">
        <v>783</v>
      </c>
      <c r="D1776" s="35" t="s">
        <v>11</v>
      </c>
    </row>
    <row r="1777" spans="3:4" hidden="1" outlineLevel="1" x14ac:dyDescent="0.3">
      <c r="C1777" s="41" t="s">
        <v>784</v>
      </c>
      <c r="D1777" s="35" t="s">
        <v>125</v>
      </c>
    </row>
    <row r="1778" spans="3:4" hidden="1" outlineLevel="1" x14ac:dyDescent="0.3">
      <c r="C1778" s="41" t="s">
        <v>787</v>
      </c>
      <c r="D1778" s="35" t="s">
        <v>748</v>
      </c>
    </row>
    <row r="1779" spans="3:4" hidden="1" outlineLevel="1" x14ac:dyDescent="0.3">
      <c r="C1779" s="37" t="s">
        <v>788</v>
      </c>
      <c r="D1779" s="35" t="s">
        <v>517</v>
      </c>
    </row>
    <row r="1780" spans="3:4" hidden="1" outlineLevel="1" x14ac:dyDescent="0.3">
      <c r="C1780" s="37" t="s">
        <v>789</v>
      </c>
      <c r="D1780" s="35" t="s">
        <v>386</v>
      </c>
    </row>
    <row r="1781" spans="3:4" hidden="1" outlineLevel="1" x14ac:dyDescent="0.3">
      <c r="C1781" s="37" t="s">
        <v>790</v>
      </c>
      <c r="D1781" s="35" t="s">
        <v>299</v>
      </c>
    </row>
    <row r="1782" spans="3:4" hidden="1" outlineLevel="1" x14ac:dyDescent="0.3">
      <c r="C1782" s="37" t="s">
        <v>791</v>
      </c>
      <c r="D1782" s="35" t="s">
        <v>749</v>
      </c>
    </row>
    <row r="1783" spans="3:4" hidden="1" outlineLevel="1" x14ac:dyDescent="0.3">
      <c r="C1783" s="37" t="s">
        <v>792</v>
      </c>
      <c r="D1783" s="35" t="s">
        <v>750</v>
      </c>
    </row>
    <row r="1784" spans="3:4" hidden="1" outlineLevel="1" x14ac:dyDescent="0.3">
      <c r="C1784" s="37" t="s">
        <v>793</v>
      </c>
      <c r="D1784" s="35" t="s">
        <v>751</v>
      </c>
    </row>
    <row r="1785" spans="3:4" hidden="1" outlineLevel="1" x14ac:dyDescent="0.3">
      <c r="C1785" s="37" t="s">
        <v>794</v>
      </c>
      <c r="D1785" s="35" t="s">
        <v>752</v>
      </c>
    </row>
    <row r="1786" spans="3:4" hidden="1" outlineLevel="1" x14ac:dyDescent="0.3">
      <c r="C1786" s="37" t="s">
        <v>795</v>
      </c>
      <c r="D1786" s="35" t="s">
        <v>753</v>
      </c>
    </row>
    <row r="1787" spans="3:4" hidden="1" outlineLevel="1" x14ac:dyDescent="0.3">
      <c r="C1787" s="37" t="s">
        <v>796</v>
      </c>
      <c r="D1787" s="35" t="s">
        <v>754</v>
      </c>
    </row>
    <row r="1788" spans="3:4" hidden="1" outlineLevel="1" x14ac:dyDescent="0.3">
      <c r="C1788" s="37" t="s">
        <v>797</v>
      </c>
      <c r="D1788" s="35" t="s">
        <v>755</v>
      </c>
    </row>
    <row r="1789" spans="3:4" hidden="1" outlineLevel="1" x14ac:dyDescent="0.3">
      <c r="C1789" s="37" t="s">
        <v>798</v>
      </c>
      <c r="D1789" s="35" t="s">
        <v>756</v>
      </c>
    </row>
    <row r="1790" spans="3:4" hidden="1" outlineLevel="1" x14ac:dyDescent="0.3">
      <c r="C1790" s="37" t="s">
        <v>799</v>
      </c>
      <c r="D1790" s="35" t="s">
        <v>757</v>
      </c>
    </row>
    <row r="1791" spans="3:4" hidden="1" outlineLevel="1" x14ac:dyDescent="0.3">
      <c r="C1791" s="37" t="s">
        <v>800</v>
      </c>
      <c r="D1791" s="35" t="s">
        <v>758</v>
      </c>
    </row>
    <row r="1792" spans="3:4" hidden="1" outlineLevel="1" x14ac:dyDescent="0.3">
      <c r="C1792" s="37" t="s">
        <v>801</v>
      </c>
      <c r="D1792" s="35" t="s">
        <v>759</v>
      </c>
    </row>
    <row r="1793" spans="3:4" hidden="1" outlineLevel="1" x14ac:dyDescent="0.3">
      <c r="C1793" s="37" t="s">
        <v>802</v>
      </c>
      <c r="D1793" s="35" t="s">
        <v>760</v>
      </c>
    </row>
    <row r="1794" spans="3:4" hidden="1" outlineLevel="1" x14ac:dyDescent="0.3">
      <c r="C1794" s="37" t="s">
        <v>803</v>
      </c>
      <c r="D1794" s="35" t="s">
        <v>761</v>
      </c>
    </row>
    <row r="1795" spans="3:4" hidden="1" outlineLevel="1" x14ac:dyDescent="0.3">
      <c r="C1795" s="37" t="s">
        <v>804</v>
      </c>
      <c r="D1795" s="35" t="s">
        <v>762</v>
      </c>
    </row>
    <row r="1796" spans="3:4" hidden="1" outlineLevel="1" x14ac:dyDescent="0.3">
      <c r="C1796" s="37" t="s">
        <v>805</v>
      </c>
      <c r="D1796" s="35" t="s">
        <v>763</v>
      </c>
    </row>
    <row r="1797" spans="3:4" hidden="1" outlineLevel="1" x14ac:dyDescent="0.3">
      <c r="C1797" s="37" t="s">
        <v>806</v>
      </c>
      <c r="D1797" s="35" t="s">
        <v>764</v>
      </c>
    </row>
    <row r="1798" spans="3:4" hidden="1" outlineLevel="1" x14ac:dyDescent="0.3">
      <c r="C1798" s="37" t="s">
        <v>807</v>
      </c>
      <c r="D1798" s="35" t="s">
        <v>765</v>
      </c>
    </row>
    <row r="1799" spans="3:4" hidden="1" outlineLevel="1" x14ac:dyDescent="0.3">
      <c r="C1799" s="37" t="s">
        <v>808</v>
      </c>
      <c r="D1799" s="35" t="s">
        <v>766</v>
      </c>
    </row>
    <row r="1800" spans="3:4" hidden="1" outlineLevel="1" x14ac:dyDescent="0.3">
      <c r="C1800" s="37" t="s">
        <v>809</v>
      </c>
      <c r="D1800" s="35" t="s">
        <v>767</v>
      </c>
    </row>
    <row r="1801" spans="3:4" hidden="1" outlineLevel="1" x14ac:dyDescent="0.3">
      <c r="C1801" s="37" t="s">
        <v>810</v>
      </c>
      <c r="D1801" s="35" t="s">
        <v>768</v>
      </c>
    </row>
    <row r="1802" spans="3:4" hidden="1" outlineLevel="1" x14ac:dyDescent="0.3">
      <c r="C1802" s="37" t="s">
        <v>811</v>
      </c>
      <c r="D1802" s="35" t="s">
        <v>769</v>
      </c>
    </row>
    <row r="1803" spans="3:4" hidden="1" outlineLevel="1" x14ac:dyDescent="0.3">
      <c r="C1803" s="37" t="s">
        <v>812</v>
      </c>
      <c r="D1803" s="35" t="s">
        <v>770</v>
      </c>
    </row>
    <row r="1804" spans="3:4" hidden="1" outlineLevel="1" x14ac:dyDescent="0.3">
      <c r="C1804" s="37" t="s">
        <v>813</v>
      </c>
      <c r="D1804" s="35" t="s">
        <v>771</v>
      </c>
    </row>
    <row r="1805" spans="3:4" hidden="1" outlineLevel="1" x14ac:dyDescent="0.3">
      <c r="C1805" s="37" t="s">
        <v>814</v>
      </c>
      <c r="D1805" s="35" t="s">
        <v>772</v>
      </c>
    </row>
    <row r="1806" spans="3:4" hidden="1" outlineLevel="1" x14ac:dyDescent="0.3">
      <c r="C1806" s="37" t="s">
        <v>815</v>
      </c>
      <c r="D1806" s="35" t="s">
        <v>773</v>
      </c>
    </row>
    <row r="1807" spans="3:4" hidden="1" outlineLevel="1" x14ac:dyDescent="0.3">
      <c r="C1807" s="37" t="s">
        <v>816</v>
      </c>
      <c r="D1807" s="35" t="s">
        <v>774</v>
      </c>
    </row>
    <row r="1808" spans="3:4" hidden="1" outlineLevel="1" x14ac:dyDescent="0.3">
      <c r="C1808" s="37" t="s">
        <v>817</v>
      </c>
      <c r="D1808" s="35" t="s">
        <v>775</v>
      </c>
    </row>
    <row r="1809" spans="2:4" hidden="1" outlineLevel="1" x14ac:dyDescent="0.3">
      <c r="C1809" s="37" t="s">
        <v>818</v>
      </c>
      <c r="D1809" s="35" t="s">
        <v>776</v>
      </c>
    </row>
    <row r="1810" spans="2:4" hidden="1" outlineLevel="1" x14ac:dyDescent="0.3">
      <c r="C1810" s="37" t="s">
        <v>819</v>
      </c>
      <c r="D1810" s="35" t="s">
        <v>777</v>
      </c>
    </row>
    <row r="1811" spans="2:4" collapsed="1" x14ac:dyDescent="0.3">
      <c r="B1811" s="43" t="s">
        <v>36</v>
      </c>
      <c r="C1811" t="s">
        <v>18</v>
      </c>
    </row>
    <row r="1812" spans="2:4" hidden="1" outlineLevel="1" x14ac:dyDescent="0.3">
      <c r="C1812" s="40" t="s">
        <v>779</v>
      </c>
      <c r="D1812" s="35" t="s">
        <v>745</v>
      </c>
    </row>
    <row r="1813" spans="2:4" hidden="1" outlineLevel="1" x14ac:dyDescent="0.3">
      <c r="C1813" s="41" t="s">
        <v>780</v>
      </c>
      <c r="D1813" s="42" t="s">
        <v>820</v>
      </c>
    </row>
    <row r="1814" spans="2:4" hidden="1" outlineLevel="1" x14ac:dyDescent="0.3">
      <c r="C1814" s="40" t="s">
        <v>781</v>
      </c>
      <c r="D1814" s="35" t="s">
        <v>746</v>
      </c>
    </row>
    <row r="1815" spans="2:4" hidden="1" outlineLevel="1" x14ac:dyDescent="0.3">
      <c r="C1815" s="41" t="s">
        <v>782</v>
      </c>
      <c r="D1815" s="35" t="s">
        <v>367</v>
      </c>
    </row>
    <row r="1816" spans="2:4" hidden="1" outlineLevel="1" x14ac:dyDescent="0.3">
      <c r="C1816" s="41" t="s">
        <v>785</v>
      </c>
      <c r="D1816" s="35" t="s">
        <v>68</v>
      </c>
    </row>
    <row r="1817" spans="2:4" hidden="1" outlineLevel="1" x14ac:dyDescent="0.3">
      <c r="C1817" s="41" t="s">
        <v>786</v>
      </c>
      <c r="D1817" s="35" t="s">
        <v>747</v>
      </c>
    </row>
    <row r="1818" spans="2:4" hidden="1" outlineLevel="1" x14ac:dyDescent="0.3">
      <c r="C1818" s="41" t="s">
        <v>783</v>
      </c>
      <c r="D1818" s="35" t="s">
        <v>11</v>
      </c>
    </row>
    <row r="1819" spans="2:4" hidden="1" outlineLevel="1" x14ac:dyDescent="0.3">
      <c r="C1819" s="41" t="s">
        <v>784</v>
      </c>
      <c r="D1819" s="35" t="s">
        <v>125</v>
      </c>
    </row>
    <row r="1820" spans="2:4" hidden="1" outlineLevel="1" x14ac:dyDescent="0.3">
      <c r="C1820" s="41" t="s">
        <v>787</v>
      </c>
      <c r="D1820" s="35" t="s">
        <v>748</v>
      </c>
    </row>
    <row r="1821" spans="2:4" hidden="1" outlineLevel="1" x14ac:dyDescent="0.3">
      <c r="C1821" s="37" t="s">
        <v>788</v>
      </c>
      <c r="D1821" s="35" t="s">
        <v>517</v>
      </c>
    </row>
    <row r="1822" spans="2:4" hidden="1" outlineLevel="1" x14ac:dyDescent="0.3">
      <c r="C1822" s="37" t="s">
        <v>789</v>
      </c>
      <c r="D1822" s="35" t="s">
        <v>386</v>
      </c>
    </row>
    <row r="1823" spans="2:4" hidden="1" outlineLevel="1" x14ac:dyDescent="0.3">
      <c r="C1823" s="37" t="s">
        <v>790</v>
      </c>
      <c r="D1823" s="35" t="s">
        <v>299</v>
      </c>
    </row>
    <row r="1824" spans="2:4" hidden="1" outlineLevel="1" x14ac:dyDescent="0.3">
      <c r="C1824" s="37" t="s">
        <v>791</v>
      </c>
      <c r="D1824" s="35" t="s">
        <v>749</v>
      </c>
    </row>
    <row r="1825" spans="3:4" hidden="1" outlineLevel="1" x14ac:dyDescent="0.3">
      <c r="C1825" s="37" t="s">
        <v>792</v>
      </c>
      <c r="D1825" s="35" t="s">
        <v>750</v>
      </c>
    </row>
    <row r="1826" spans="3:4" hidden="1" outlineLevel="1" x14ac:dyDescent="0.3">
      <c r="C1826" s="37" t="s">
        <v>793</v>
      </c>
      <c r="D1826" s="35" t="s">
        <v>751</v>
      </c>
    </row>
    <row r="1827" spans="3:4" hidden="1" outlineLevel="1" x14ac:dyDescent="0.3">
      <c r="C1827" s="37" t="s">
        <v>794</v>
      </c>
      <c r="D1827" s="35" t="s">
        <v>752</v>
      </c>
    </row>
    <row r="1828" spans="3:4" hidden="1" outlineLevel="1" x14ac:dyDescent="0.3">
      <c r="C1828" s="37" t="s">
        <v>795</v>
      </c>
      <c r="D1828" s="35" t="s">
        <v>753</v>
      </c>
    </row>
    <row r="1829" spans="3:4" hidden="1" outlineLevel="1" x14ac:dyDescent="0.3">
      <c r="C1829" s="37" t="s">
        <v>796</v>
      </c>
      <c r="D1829" s="35" t="s">
        <v>754</v>
      </c>
    </row>
    <row r="1830" spans="3:4" hidden="1" outlineLevel="1" x14ac:dyDescent="0.3">
      <c r="C1830" s="37" t="s">
        <v>797</v>
      </c>
      <c r="D1830" s="35" t="s">
        <v>755</v>
      </c>
    </row>
    <row r="1831" spans="3:4" hidden="1" outlineLevel="1" x14ac:dyDescent="0.3">
      <c r="C1831" s="37" t="s">
        <v>798</v>
      </c>
      <c r="D1831" s="35" t="s">
        <v>756</v>
      </c>
    </row>
    <row r="1832" spans="3:4" hidden="1" outlineLevel="1" x14ac:dyDescent="0.3">
      <c r="C1832" s="37" t="s">
        <v>799</v>
      </c>
      <c r="D1832" s="35" t="s">
        <v>757</v>
      </c>
    </row>
    <row r="1833" spans="3:4" hidden="1" outlineLevel="1" x14ac:dyDescent="0.3">
      <c r="C1833" s="37" t="s">
        <v>800</v>
      </c>
      <c r="D1833" s="35" t="s">
        <v>758</v>
      </c>
    </row>
    <row r="1834" spans="3:4" hidden="1" outlineLevel="1" x14ac:dyDescent="0.3">
      <c r="C1834" s="37" t="s">
        <v>801</v>
      </c>
      <c r="D1834" s="35" t="s">
        <v>759</v>
      </c>
    </row>
    <row r="1835" spans="3:4" hidden="1" outlineLevel="1" x14ac:dyDescent="0.3">
      <c r="C1835" s="37" t="s">
        <v>802</v>
      </c>
      <c r="D1835" s="35" t="s">
        <v>760</v>
      </c>
    </row>
    <row r="1836" spans="3:4" hidden="1" outlineLevel="1" x14ac:dyDescent="0.3">
      <c r="C1836" s="37" t="s">
        <v>803</v>
      </c>
      <c r="D1836" s="35" t="s">
        <v>761</v>
      </c>
    </row>
    <row r="1837" spans="3:4" hidden="1" outlineLevel="1" x14ac:dyDescent="0.3">
      <c r="C1837" s="37" t="s">
        <v>804</v>
      </c>
      <c r="D1837" s="35" t="s">
        <v>762</v>
      </c>
    </row>
    <row r="1838" spans="3:4" hidden="1" outlineLevel="1" x14ac:dyDescent="0.3">
      <c r="C1838" s="37" t="s">
        <v>805</v>
      </c>
      <c r="D1838" s="35" t="s">
        <v>763</v>
      </c>
    </row>
    <row r="1839" spans="3:4" hidden="1" outlineLevel="1" x14ac:dyDescent="0.3">
      <c r="C1839" s="37" t="s">
        <v>806</v>
      </c>
      <c r="D1839" s="35" t="s">
        <v>764</v>
      </c>
    </row>
    <row r="1840" spans="3:4" hidden="1" outlineLevel="1" x14ac:dyDescent="0.3">
      <c r="C1840" s="37" t="s">
        <v>807</v>
      </c>
      <c r="D1840" s="35" t="s">
        <v>765</v>
      </c>
    </row>
    <row r="1841" spans="2:4" hidden="1" outlineLevel="1" x14ac:dyDescent="0.3">
      <c r="C1841" s="37" t="s">
        <v>808</v>
      </c>
      <c r="D1841" s="35" t="s">
        <v>766</v>
      </c>
    </row>
    <row r="1842" spans="2:4" hidden="1" outlineLevel="1" x14ac:dyDescent="0.3">
      <c r="C1842" s="37" t="s">
        <v>809</v>
      </c>
      <c r="D1842" s="35" t="s">
        <v>767</v>
      </c>
    </row>
    <row r="1843" spans="2:4" hidden="1" outlineLevel="1" x14ac:dyDescent="0.3">
      <c r="C1843" s="37" t="s">
        <v>810</v>
      </c>
      <c r="D1843" s="35" t="s">
        <v>768</v>
      </c>
    </row>
    <row r="1844" spans="2:4" hidden="1" outlineLevel="1" x14ac:dyDescent="0.3">
      <c r="C1844" s="37" t="s">
        <v>811</v>
      </c>
      <c r="D1844" s="35" t="s">
        <v>769</v>
      </c>
    </row>
    <row r="1845" spans="2:4" hidden="1" outlineLevel="1" x14ac:dyDescent="0.3">
      <c r="C1845" s="37" t="s">
        <v>812</v>
      </c>
      <c r="D1845" s="35" t="s">
        <v>770</v>
      </c>
    </row>
    <row r="1846" spans="2:4" hidden="1" outlineLevel="1" x14ac:dyDescent="0.3">
      <c r="C1846" s="37" t="s">
        <v>813</v>
      </c>
      <c r="D1846" s="35" t="s">
        <v>771</v>
      </c>
    </row>
    <row r="1847" spans="2:4" hidden="1" outlineLevel="1" x14ac:dyDescent="0.3">
      <c r="C1847" s="37" t="s">
        <v>814</v>
      </c>
      <c r="D1847" s="35" t="s">
        <v>772</v>
      </c>
    </row>
    <row r="1848" spans="2:4" hidden="1" outlineLevel="1" x14ac:dyDescent="0.3">
      <c r="C1848" s="37" t="s">
        <v>815</v>
      </c>
      <c r="D1848" s="35" t="s">
        <v>773</v>
      </c>
    </row>
    <row r="1849" spans="2:4" hidden="1" outlineLevel="1" x14ac:dyDescent="0.3">
      <c r="C1849" s="37" t="s">
        <v>816</v>
      </c>
      <c r="D1849" s="35" t="s">
        <v>774</v>
      </c>
    </row>
    <row r="1850" spans="2:4" hidden="1" outlineLevel="1" x14ac:dyDescent="0.3">
      <c r="C1850" s="37" t="s">
        <v>817</v>
      </c>
      <c r="D1850" s="35" t="s">
        <v>775</v>
      </c>
    </row>
    <row r="1851" spans="2:4" hidden="1" outlineLevel="1" x14ac:dyDescent="0.3">
      <c r="C1851" s="37" t="s">
        <v>818</v>
      </c>
      <c r="D1851" s="35" t="s">
        <v>776</v>
      </c>
    </row>
    <row r="1852" spans="2:4" hidden="1" outlineLevel="1" x14ac:dyDescent="0.3">
      <c r="C1852" s="37" t="s">
        <v>819</v>
      </c>
      <c r="D1852" s="35" t="s">
        <v>777</v>
      </c>
    </row>
    <row r="1853" spans="2:4" collapsed="1" x14ac:dyDescent="0.3">
      <c r="B1853" s="43" t="s">
        <v>175</v>
      </c>
      <c r="C1853" t="s">
        <v>18</v>
      </c>
    </row>
    <row r="1854" spans="2:4" hidden="1" outlineLevel="1" x14ac:dyDescent="0.3">
      <c r="C1854" s="40" t="s">
        <v>779</v>
      </c>
      <c r="D1854" s="35" t="s">
        <v>745</v>
      </c>
    </row>
    <row r="1855" spans="2:4" hidden="1" outlineLevel="1" x14ac:dyDescent="0.3">
      <c r="C1855" s="41" t="s">
        <v>780</v>
      </c>
      <c r="D1855" s="42" t="s">
        <v>820</v>
      </c>
    </row>
    <row r="1856" spans="2:4" hidden="1" outlineLevel="1" x14ac:dyDescent="0.3">
      <c r="C1856" s="40" t="s">
        <v>781</v>
      </c>
      <c r="D1856" s="35" t="s">
        <v>746</v>
      </c>
    </row>
    <row r="1857" spans="3:4" hidden="1" outlineLevel="1" x14ac:dyDescent="0.3">
      <c r="C1857" s="41" t="s">
        <v>782</v>
      </c>
      <c r="D1857" s="35" t="s">
        <v>367</v>
      </c>
    </row>
    <row r="1858" spans="3:4" hidden="1" outlineLevel="1" x14ac:dyDescent="0.3">
      <c r="C1858" s="41" t="s">
        <v>785</v>
      </c>
      <c r="D1858" s="35" t="s">
        <v>68</v>
      </c>
    </row>
    <row r="1859" spans="3:4" hidden="1" outlineLevel="1" x14ac:dyDescent="0.3">
      <c r="C1859" s="41" t="s">
        <v>786</v>
      </c>
      <c r="D1859" s="35" t="s">
        <v>747</v>
      </c>
    </row>
    <row r="1860" spans="3:4" hidden="1" outlineLevel="1" x14ac:dyDescent="0.3">
      <c r="C1860" s="41" t="s">
        <v>783</v>
      </c>
      <c r="D1860" s="35" t="s">
        <v>11</v>
      </c>
    </row>
    <row r="1861" spans="3:4" hidden="1" outlineLevel="1" x14ac:dyDescent="0.3">
      <c r="C1861" s="41" t="s">
        <v>784</v>
      </c>
      <c r="D1861" s="35" t="s">
        <v>125</v>
      </c>
    </row>
    <row r="1862" spans="3:4" hidden="1" outlineLevel="1" x14ac:dyDescent="0.3">
      <c r="C1862" s="41" t="s">
        <v>787</v>
      </c>
      <c r="D1862" s="35" t="s">
        <v>748</v>
      </c>
    </row>
    <row r="1863" spans="3:4" hidden="1" outlineLevel="1" x14ac:dyDescent="0.3">
      <c r="C1863" s="37" t="s">
        <v>788</v>
      </c>
      <c r="D1863" s="35" t="s">
        <v>517</v>
      </c>
    </row>
    <row r="1864" spans="3:4" hidden="1" outlineLevel="1" x14ac:dyDescent="0.3">
      <c r="C1864" s="37" t="s">
        <v>789</v>
      </c>
      <c r="D1864" s="35" t="s">
        <v>386</v>
      </c>
    </row>
    <row r="1865" spans="3:4" hidden="1" outlineLevel="1" x14ac:dyDescent="0.3">
      <c r="C1865" s="37" t="s">
        <v>790</v>
      </c>
      <c r="D1865" s="35" t="s">
        <v>299</v>
      </c>
    </row>
    <row r="1866" spans="3:4" hidden="1" outlineLevel="1" x14ac:dyDescent="0.3">
      <c r="C1866" s="37" t="s">
        <v>791</v>
      </c>
      <c r="D1866" s="35" t="s">
        <v>749</v>
      </c>
    </row>
    <row r="1867" spans="3:4" hidden="1" outlineLevel="1" x14ac:dyDescent="0.3">
      <c r="C1867" s="37" t="s">
        <v>792</v>
      </c>
      <c r="D1867" s="35" t="s">
        <v>750</v>
      </c>
    </row>
    <row r="1868" spans="3:4" hidden="1" outlineLevel="1" x14ac:dyDescent="0.3">
      <c r="C1868" s="37" t="s">
        <v>793</v>
      </c>
      <c r="D1868" s="35" t="s">
        <v>751</v>
      </c>
    </row>
    <row r="1869" spans="3:4" hidden="1" outlineLevel="1" x14ac:dyDescent="0.3">
      <c r="C1869" s="37" t="s">
        <v>794</v>
      </c>
      <c r="D1869" s="35" t="s">
        <v>752</v>
      </c>
    </row>
    <row r="1870" spans="3:4" hidden="1" outlineLevel="1" x14ac:dyDescent="0.3">
      <c r="C1870" s="37" t="s">
        <v>795</v>
      </c>
      <c r="D1870" s="35" t="s">
        <v>753</v>
      </c>
    </row>
    <row r="1871" spans="3:4" hidden="1" outlineLevel="1" x14ac:dyDescent="0.3">
      <c r="C1871" s="37" t="s">
        <v>796</v>
      </c>
      <c r="D1871" s="35" t="s">
        <v>754</v>
      </c>
    </row>
    <row r="1872" spans="3:4" hidden="1" outlineLevel="1" x14ac:dyDescent="0.3">
      <c r="C1872" s="37" t="s">
        <v>797</v>
      </c>
      <c r="D1872" s="35" t="s">
        <v>755</v>
      </c>
    </row>
    <row r="1873" spans="3:4" hidden="1" outlineLevel="1" x14ac:dyDescent="0.3">
      <c r="C1873" s="37" t="s">
        <v>798</v>
      </c>
      <c r="D1873" s="35" t="s">
        <v>756</v>
      </c>
    </row>
    <row r="1874" spans="3:4" hidden="1" outlineLevel="1" x14ac:dyDescent="0.3">
      <c r="C1874" s="37" t="s">
        <v>799</v>
      </c>
      <c r="D1874" s="35" t="s">
        <v>757</v>
      </c>
    </row>
    <row r="1875" spans="3:4" hidden="1" outlineLevel="1" x14ac:dyDescent="0.3">
      <c r="C1875" s="37" t="s">
        <v>800</v>
      </c>
      <c r="D1875" s="35" t="s">
        <v>758</v>
      </c>
    </row>
    <row r="1876" spans="3:4" hidden="1" outlineLevel="1" x14ac:dyDescent="0.3">
      <c r="C1876" s="37" t="s">
        <v>801</v>
      </c>
      <c r="D1876" s="35" t="s">
        <v>759</v>
      </c>
    </row>
    <row r="1877" spans="3:4" hidden="1" outlineLevel="1" x14ac:dyDescent="0.3">
      <c r="C1877" s="37" t="s">
        <v>802</v>
      </c>
      <c r="D1877" s="35" t="s">
        <v>760</v>
      </c>
    </row>
    <row r="1878" spans="3:4" hidden="1" outlineLevel="1" x14ac:dyDescent="0.3">
      <c r="C1878" s="37" t="s">
        <v>803</v>
      </c>
      <c r="D1878" s="35" t="s">
        <v>761</v>
      </c>
    </row>
    <row r="1879" spans="3:4" hidden="1" outlineLevel="1" x14ac:dyDescent="0.3">
      <c r="C1879" s="37" t="s">
        <v>804</v>
      </c>
      <c r="D1879" s="35" t="s">
        <v>762</v>
      </c>
    </row>
    <row r="1880" spans="3:4" hidden="1" outlineLevel="1" x14ac:dyDescent="0.3">
      <c r="C1880" s="37" t="s">
        <v>805</v>
      </c>
      <c r="D1880" s="35" t="s">
        <v>763</v>
      </c>
    </row>
    <row r="1881" spans="3:4" hidden="1" outlineLevel="1" x14ac:dyDescent="0.3">
      <c r="C1881" s="37" t="s">
        <v>806</v>
      </c>
      <c r="D1881" s="35" t="s">
        <v>764</v>
      </c>
    </row>
    <row r="1882" spans="3:4" hidden="1" outlineLevel="1" x14ac:dyDescent="0.3">
      <c r="C1882" s="37" t="s">
        <v>807</v>
      </c>
      <c r="D1882" s="35" t="s">
        <v>765</v>
      </c>
    </row>
    <row r="1883" spans="3:4" hidden="1" outlineLevel="1" x14ac:dyDescent="0.3">
      <c r="C1883" s="37" t="s">
        <v>808</v>
      </c>
      <c r="D1883" s="35" t="s">
        <v>766</v>
      </c>
    </row>
    <row r="1884" spans="3:4" hidden="1" outlineLevel="1" x14ac:dyDescent="0.3">
      <c r="C1884" s="37" t="s">
        <v>809</v>
      </c>
      <c r="D1884" s="35" t="s">
        <v>767</v>
      </c>
    </row>
    <row r="1885" spans="3:4" hidden="1" outlineLevel="1" x14ac:dyDescent="0.3">
      <c r="C1885" s="37" t="s">
        <v>810</v>
      </c>
      <c r="D1885" s="35" t="s">
        <v>768</v>
      </c>
    </row>
    <row r="1886" spans="3:4" hidden="1" outlineLevel="1" x14ac:dyDescent="0.3">
      <c r="C1886" s="37" t="s">
        <v>811</v>
      </c>
      <c r="D1886" s="35" t="s">
        <v>769</v>
      </c>
    </row>
    <row r="1887" spans="3:4" hidden="1" outlineLevel="1" x14ac:dyDescent="0.3">
      <c r="C1887" s="37" t="s">
        <v>812</v>
      </c>
      <c r="D1887" s="35" t="s">
        <v>770</v>
      </c>
    </row>
    <row r="1888" spans="3:4" hidden="1" outlineLevel="1" x14ac:dyDescent="0.3">
      <c r="C1888" s="37" t="s">
        <v>813</v>
      </c>
      <c r="D1888" s="35" t="s">
        <v>771</v>
      </c>
    </row>
    <row r="1889" spans="2:4" hidden="1" outlineLevel="1" x14ac:dyDescent="0.3">
      <c r="C1889" s="37" t="s">
        <v>814</v>
      </c>
      <c r="D1889" s="35" t="s">
        <v>772</v>
      </c>
    </row>
    <row r="1890" spans="2:4" hidden="1" outlineLevel="1" x14ac:dyDescent="0.3">
      <c r="C1890" s="37" t="s">
        <v>815</v>
      </c>
      <c r="D1890" s="35" t="s">
        <v>773</v>
      </c>
    </row>
    <row r="1891" spans="2:4" hidden="1" outlineLevel="1" x14ac:dyDescent="0.3">
      <c r="C1891" s="37" t="s">
        <v>816</v>
      </c>
      <c r="D1891" s="35" t="s">
        <v>774</v>
      </c>
    </row>
    <row r="1892" spans="2:4" hidden="1" outlineLevel="1" x14ac:dyDescent="0.3">
      <c r="C1892" s="37" t="s">
        <v>817</v>
      </c>
      <c r="D1892" s="35" t="s">
        <v>775</v>
      </c>
    </row>
    <row r="1893" spans="2:4" hidden="1" outlineLevel="1" x14ac:dyDescent="0.3">
      <c r="C1893" s="37" t="s">
        <v>818</v>
      </c>
      <c r="D1893" s="35" t="s">
        <v>776</v>
      </c>
    </row>
    <row r="1894" spans="2:4" hidden="1" outlineLevel="1" x14ac:dyDescent="0.3">
      <c r="C1894" s="37" t="s">
        <v>819</v>
      </c>
      <c r="D1894" s="35" t="s">
        <v>777</v>
      </c>
    </row>
    <row r="1895" spans="2:4" collapsed="1" x14ac:dyDescent="0.3">
      <c r="B1895" s="43" t="s">
        <v>17</v>
      </c>
      <c r="C1895" t="s">
        <v>18</v>
      </c>
    </row>
    <row r="1896" spans="2:4" hidden="1" outlineLevel="1" x14ac:dyDescent="0.3">
      <c r="C1896" s="40" t="s">
        <v>779</v>
      </c>
      <c r="D1896" s="35" t="s">
        <v>745</v>
      </c>
    </row>
    <row r="1897" spans="2:4" hidden="1" outlineLevel="1" x14ac:dyDescent="0.3">
      <c r="C1897" s="41" t="s">
        <v>780</v>
      </c>
      <c r="D1897" s="42" t="s">
        <v>820</v>
      </c>
    </row>
    <row r="1898" spans="2:4" hidden="1" outlineLevel="1" x14ac:dyDescent="0.3">
      <c r="C1898" s="40" t="s">
        <v>781</v>
      </c>
      <c r="D1898" s="35" t="s">
        <v>746</v>
      </c>
    </row>
    <row r="1899" spans="2:4" hidden="1" outlineLevel="1" x14ac:dyDescent="0.3">
      <c r="C1899" s="41" t="s">
        <v>782</v>
      </c>
      <c r="D1899" s="35" t="s">
        <v>367</v>
      </c>
    </row>
    <row r="1900" spans="2:4" hidden="1" outlineLevel="1" x14ac:dyDescent="0.3">
      <c r="C1900" s="41" t="s">
        <v>785</v>
      </c>
      <c r="D1900" s="35" t="s">
        <v>68</v>
      </c>
    </row>
    <row r="1901" spans="2:4" hidden="1" outlineLevel="1" x14ac:dyDescent="0.3">
      <c r="C1901" s="41" t="s">
        <v>786</v>
      </c>
      <c r="D1901" s="35" t="s">
        <v>747</v>
      </c>
    </row>
    <row r="1902" spans="2:4" hidden="1" outlineLevel="1" x14ac:dyDescent="0.3">
      <c r="C1902" s="41" t="s">
        <v>783</v>
      </c>
      <c r="D1902" s="35" t="s">
        <v>11</v>
      </c>
    </row>
    <row r="1903" spans="2:4" hidden="1" outlineLevel="1" x14ac:dyDescent="0.3">
      <c r="C1903" s="41" t="s">
        <v>784</v>
      </c>
      <c r="D1903" s="35" t="s">
        <v>125</v>
      </c>
    </row>
    <row r="1904" spans="2:4" hidden="1" outlineLevel="1" x14ac:dyDescent="0.3">
      <c r="C1904" s="41" t="s">
        <v>787</v>
      </c>
      <c r="D1904" s="35" t="s">
        <v>748</v>
      </c>
    </row>
    <row r="1905" spans="3:4" hidden="1" outlineLevel="1" x14ac:dyDescent="0.3">
      <c r="C1905" s="37" t="s">
        <v>788</v>
      </c>
      <c r="D1905" s="35" t="s">
        <v>517</v>
      </c>
    </row>
    <row r="1906" spans="3:4" hidden="1" outlineLevel="1" x14ac:dyDescent="0.3">
      <c r="C1906" s="37" t="s">
        <v>789</v>
      </c>
      <c r="D1906" s="35" t="s">
        <v>386</v>
      </c>
    </row>
    <row r="1907" spans="3:4" hidden="1" outlineLevel="1" x14ac:dyDescent="0.3">
      <c r="C1907" s="37" t="s">
        <v>790</v>
      </c>
      <c r="D1907" s="35" t="s">
        <v>299</v>
      </c>
    </row>
    <row r="1908" spans="3:4" hidden="1" outlineLevel="1" x14ac:dyDescent="0.3">
      <c r="C1908" s="37" t="s">
        <v>791</v>
      </c>
      <c r="D1908" s="35" t="s">
        <v>749</v>
      </c>
    </row>
    <row r="1909" spans="3:4" hidden="1" outlineLevel="1" x14ac:dyDescent="0.3">
      <c r="C1909" s="37" t="s">
        <v>792</v>
      </c>
      <c r="D1909" s="35" t="s">
        <v>750</v>
      </c>
    </row>
    <row r="1910" spans="3:4" hidden="1" outlineLevel="1" x14ac:dyDescent="0.3">
      <c r="C1910" s="37" t="s">
        <v>793</v>
      </c>
      <c r="D1910" s="35" t="s">
        <v>751</v>
      </c>
    </row>
    <row r="1911" spans="3:4" hidden="1" outlineLevel="1" x14ac:dyDescent="0.3">
      <c r="C1911" s="37" t="s">
        <v>794</v>
      </c>
      <c r="D1911" s="35" t="s">
        <v>752</v>
      </c>
    </row>
    <row r="1912" spans="3:4" hidden="1" outlineLevel="1" x14ac:dyDescent="0.3">
      <c r="C1912" s="37" t="s">
        <v>795</v>
      </c>
      <c r="D1912" s="35" t="s">
        <v>753</v>
      </c>
    </row>
    <row r="1913" spans="3:4" hidden="1" outlineLevel="1" x14ac:dyDescent="0.3">
      <c r="C1913" s="37" t="s">
        <v>796</v>
      </c>
      <c r="D1913" s="35" t="s">
        <v>754</v>
      </c>
    </row>
    <row r="1914" spans="3:4" hidden="1" outlineLevel="1" x14ac:dyDescent="0.3">
      <c r="C1914" s="37" t="s">
        <v>797</v>
      </c>
      <c r="D1914" s="35" t="s">
        <v>755</v>
      </c>
    </row>
    <row r="1915" spans="3:4" hidden="1" outlineLevel="1" x14ac:dyDescent="0.3">
      <c r="C1915" s="37" t="s">
        <v>798</v>
      </c>
      <c r="D1915" s="35" t="s">
        <v>756</v>
      </c>
    </row>
    <row r="1916" spans="3:4" hidden="1" outlineLevel="1" x14ac:dyDescent="0.3">
      <c r="C1916" s="37" t="s">
        <v>799</v>
      </c>
      <c r="D1916" s="35" t="s">
        <v>757</v>
      </c>
    </row>
    <row r="1917" spans="3:4" hidden="1" outlineLevel="1" x14ac:dyDescent="0.3">
      <c r="C1917" s="37" t="s">
        <v>800</v>
      </c>
      <c r="D1917" s="35" t="s">
        <v>758</v>
      </c>
    </row>
    <row r="1918" spans="3:4" hidden="1" outlineLevel="1" x14ac:dyDescent="0.3">
      <c r="C1918" s="37" t="s">
        <v>801</v>
      </c>
      <c r="D1918" s="35" t="s">
        <v>759</v>
      </c>
    </row>
    <row r="1919" spans="3:4" hidden="1" outlineLevel="1" x14ac:dyDescent="0.3">
      <c r="C1919" s="37" t="s">
        <v>802</v>
      </c>
      <c r="D1919" s="35" t="s">
        <v>760</v>
      </c>
    </row>
    <row r="1920" spans="3:4" hidden="1" outlineLevel="1" x14ac:dyDescent="0.3">
      <c r="C1920" s="37" t="s">
        <v>803</v>
      </c>
      <c r="D1920" s="35" t="s">
        <v>761</v>
      </c>
    </row>
    <row r="1921" spans="3:4" hidden="1" outlineLevel="1" x14ac:dyDescent="0.3">
      <c r="C1921" s="37" t="s">
        <v>804</v>
      </c>
      <c r="D1921" s="35" t="s">
        <v>762</v>
      </c>
    </row>
    <row r="1922" spans="3:4" hidden="1" outlineLevel="1" x14ac:dyDescent="0.3">
      <c r="C1922" s="37" t="s">
        <v>805</v>
      </c>
      <c r="D1922" s="35" t="s">
        <v>763</v>
      </c>
    </row>
    <row r="1923" spans="3:4" hidden="1" outlineLevel="1" x14ac:dyDescent="0.3">
      <c r="C1923" s="37" t="s">
        <v>806</v>
      </c>
      <c r="D1923" s="35" t="s">
        <v>764</v>
      </c>
    </row>
    <row r="1924" spans="3:4" hidden="1" outlineLevel="1" x14ac:dyDescent="0.3">
      <c r="C1924" s="37" t="s">
        <v>807</v>
      </c>
      <c r="D1924" s="35" t="s">
        <v>765</v>
      </c>
    </row>
    <row r="1925" spans="3:4" hidden="1" outlineLevel="1" x14ac:dyDescent="0.3">
      <c r="C1925" s="37" t="s">
        <v>808</v>
      </c>
      <c r="D1925" s="35" t="s">
        <v>766</v>
      </c>
    </row>
    <row r="1926" spans="3:4" hidden="1" outlineLevel="1" x14ac:dyDescent="0.3">
      <c r="C1926" s="37" t="s">
        <v>809</v>
      </c>
      <c r="D1926" s="35" t="s">
        <v>767</v>
      </c>
    </row>
    <row r="1927" spans="3:4" hidden="1" outlineLevel="1" x14ac:dyDescent="0.3">
      <c r="C1927" s="37" t="s">
        <v>810</v>
      </c>
      <c r="D1927" s="35" t="s">
        <v>768</v>
      </c>
    </row>
    <row r="1928" spans="3:4" hidden="1" outlineLevel="1" x14ac:dyDescent="0.3">
      <c r="C1928" s="37" t="s">
        <v>811</v>
      </c>
      <c r="D1928" s="35" t="s">
        <v>769</v>
      </c>
    </row>
    <row r="1929" spans="3:4" hidden="1" outlineLevel="1" x14ac:dyDescent="0.3">
      <c r="C1929" s="37" t="s">
        <v>812</v>
      </c>
      <c r="D1929" s="35" t="s">
        <v>770</v>
      </c>
    </row>
    <row r="1930" spans="3:4" hidden="1" outlineLevel="1" x14ac:dyDescent="0.3">
      <c r="C1930" s="37" t="s">
        <v>813</v>
      </c>
      <c r="D1930" s="35" t="s">
        <v>771</v>
      </c>
    </row>
    <row r="1931" spans="3:4" hidden="1" outlineLevel="1" x14ac:dyDescent="0.3">
      <c r="C1931" s="37" t="s">
        <v>814</v>
      </c>
      <c r="D1931" s="35" t="s">
        <v>772</v>
      </c>
    </row>
    <row r="1932" spans="3:4" hidden="1" outlineLevel="1" x14ac:dyDescent="0.3">
      <c r="C1932" s="37" t="s">
        <v>815</v>
      </c>
      <c r="D1932" s="35" t="s">
        <v>773</v>
      </c>
    </row>
    <row r="1933" spans="3:4" hidden="1" outlineLevel="1" x14ac:dyDescent="0.3">
      <c r="C1933" s="37" t="s">
        <v>816</v>
      </c>
      <c r="D1933" s="35" t="s">
        <v>774</v>
      </c>
    </row>
    <row r="1934" spans="3:4" hidden="1" outlineLevel="1" x14ac:dyDescent="0.3">
      <c r="C1934" s="37" t="s">
        <v>817</v>
      </c>
      <c r="D1934" s="35" t="s">
        <v>775</v>
      </c>
    </row>
    <row r="1935" spans="3:4" hidden="1" outlineLevel="1" x14ac:dyDescent="0.3">
      <c r="C1935" s="37" t="s">
        <v>818</v>
      </c>
      <c r="D1935" s="35" t="s">
        <v>776</v>
      </c>
    </row>
    <row r="1936" spans="3:4" hidden="1" outlineLevel="1" x14ac:dyDescent="0.3">
      <c r="C1936" s="37" t="s">
        <v>819</v>
      </c>
      <c r="D1936" s="35" t="s">
        <v>777</v>
      </c>
    </row>
    <row r="1937" spans="2:4" collapsed="1" x14ac:dyDescent="0.3">
      <c r="B1937" s="43" t="s">
        <v>395</v>
      </c>
    </row>
    <row r="1938" spans="2:4" hidden="1" outlineLevel="1" x14ac:dyDescent="0.3">
      <c r="C1938" s="40" t="s">
        <v>779</v>
      </c>
      <c r="D1938" s="35" t="s">
        <v>745</v>
      </c>
    </row>
    <row r="1939" spans="2:4" hidden="1" outlineLevel="1" x14ac:dyDescent="0.3">
      <c r="C1939" s="41" t="s">
        <v>780</v>
      </c>
      <c r="D1939" s="42" t="s">
        <v>820</v>
      </c>
    </row>
    <row r="1940" spans="2:4" hidden="1" outlineLevel="1" x14ac:dyDescent="0.3">
      <c r="C1940" s="40" t="s">
        <v>781</v>
      </c>
      <c r="D1940" s="35" t="s">
        <v>746</v>
      </c>
    </row>
    <row r="1941" spans="2:4" hidden="1" outlineLevel="1" x14ac:dyDescent="0.3">
      <c r="C1941" s="41" t="s">
        <v>782</v>
      </c>
      <c r="D1941" s="35" t="s">
        <v>367</v>
      </c>
    </row>
    <row r="1942" spans="2:4" hidden="1" outlineLevel="1" x14ac:dyDescent="0.3">
      <c r="C1942" s="41" t="s">
        <v>785</v>
      </c>
      <c r="D1942" s="35" t="s">
        <v>68</v>
      </c>
    </row>
    <row r="1943" spans="2:4" hidden="1" outlineLevel="1" x14ac:dyDescent="0.3">
      <c r="C1943" s="41" t="s">
        <v>786</v>
      </c>
      <c r="D1943" s="35" t="s">
        <v>747</v>
      </c>
    </row>
    <row r="1944" spans="2:4" hidden="1" outlineLevel="1" x14ac:dyDescent="0.3">
      <c r="C1944" s="41" t="s">
        <v>783</v>
      </c>
      <c r="D1944" s="35" t="s">
        <v>11</v>
      </c>
    </row>
    <row r="1945" spans="2:4" hidden="1" outlineLevel="1" x14ac:dyDescent="0.3">
      <c r="C1945" s="41" t="s">
        <v>784</v>
      </c>
      <c r="D1945" s="35" t="s">
        <v>125</v>
      </c>
    </row>
    <row r="1946" spans="2:4" hidden="1" outlineLevel="1" x14ac:dyDescent="0.3">
      <c r="C1946" s="41" t="s">
        <v>787</v>
      </c>
      <c r="D1946" s="35" t="s">
        <v>748</v>
      </c>
    </row>
    <row r="1947" spans="2:4" hidden="1" outlineLevel="1" x14ac:dyDescent="0.3">
      <c r="C1947" s="37" t="s">
        <v>788</v>
      </c>
      <c r="D1947" s="35" t="s">
        <v>517</v>
      </c>
    </row>
    <row r="1948" spans="2:4" hidden="1" outlineLevel="1" x14ac:dyDescent="0.3">
      <c r="C1948" s="37" t="s">
        <v>789</v>
      </c>
      <c r="D1948" s="35" t="s">
        <v>386</v>
      </c>
    </row>
    <row r="1949" spans="2:4" hidden="1" outlineLevel="1" x14ac:dyDescent="0.3">
      <c r="C1949" s="37" t="s">
        <v>790</v>
      </c>
      <c r="D1949" s="35" t="s">
        <v>299</v>
      </c>
    </row>
    <row r="1950" spans="2:4" hidden="1" outlineLevel="1" x14ac:dyDescent="0.3">
      <c r="C1950" s="37" t="s">
        <v>791</v>
      </c>
      <c r="D1950" s="35" t="s">
        <v>749</v>
      </c>
    </row>
    <row r="1951" spans="2:4" hidden="1" outlineLevel="1" x14ac:dyDescent="0.3">
      <c r="C1951" s="37" t="s">
        <v>792</v>
      </c>
      <c r="D1951" s="35" t="s">
        <v>750</v>
      </c>
    </row>
    <row r="1952" spans="2:4" hidden="1" outlineLevel="1" x14ac:dyDescent="0.3">
      <c r="C1952" s="37" t="s">
        <v>793</v>
      </c>
      <c r="D1952" s="35" t="s">
        <v>751</v>
      </c>
    </row>
    <row r="1953" spans="3:4" hidden="1" outlineLevel="1" x14ac:dyDescent="0.3">
      <c r="C1953" s="37" t="s">
        <v>794</v>
      </c>
      <c r="D1953" s="35" t="s">
        <v>752</v>
      </c>
    </row>
    <row r="1954" spans="3:4" hidden="1" outlineLevel="1" x14ac:dyDescent="0.3">
      <c r="C1954" s="37" t="s">
        <v>795</v>
      </c>
      <c r="D1954" s="35" t="s">
        <v>753</v>
      </c>
    </row>
    <row r="1955" spans="3:4" hidden="1" outlineLevel="1" x14ac:dyDescent="0.3">
      <c r="C1955" s="37" t="s">
        <v>796</v>
      </c>
      <c r="D1955" s="35" t="s">
        <v>754</v>
      </c>
    </row>
    <row r="1956" spans="3:4" hidden="1" outlineLevel="1" x14ac:dyDescent="0.3">
      <c r="C1956" s="37" t="s">
        <v>797</v>
      </c>
      <c r="D1956" s="35" t="s">
        <v>755</v>
      </c>
    </row>
    <row r="1957" spans="3:4" hidden="1" outlineLevel="1" x14ac:dyDescent="0.3">
      <c r="C1957" s="37" t="s">
        <v>798</v>
      </c>
      <c r="D1957" s="35" t="s">
        <v>756</v>
      </c>
    </row>
    <row r="1958" spans="3:4" hidden="1" outlineLevel="1" x14ac:dyDescent="0.3">
      <c r="C1958" s="37" t="s">
        <v>799</v>
      </c>
      <c r="D1958" s="35" t="s">
        <v>757</v>
      </c>
    </row>
    <row r="1959" spans="3:4" hidden="1" outlineLevel="1" x14ac:dyDescent="0.3">
      <c r="C1959" s="37" t="s">
        <v>800</v>
      </c>
      <c r="D1959" s="35" t="s">
        <v>758</v>
      </c>
    </row>
    <row r="1960" spans="3:4" hidden="1" outlineLevel="1" x14ac:dyDescent="0.3">
      <c r="C1960" s="37" t="s">
        <v>801</v>
      </c>
      <c r="D1960" s="35" t="s">
        <v>759</v>
      </c>
    </row>
    <row r="1961" spans="3:4" hidden="1" outlineLevel="1" x14ac:dyDescent="0.3">
      <c r="C1961" s="37" t="s">
        <v>802</v>
      </c>
      <c r="D1961" s="35" t="s">
        <v>760</v>
      </c>
    </row>
    <row r="1962" spans="3:4" hidden="1" outlineLevel="1" x14ac:dyDescent="0.3">
      <c r="C1962" s="37" t="s">
        <v>803</v>
      </c>
      <c r="D1962" s="35" t="s">
        <v>761</v>
      </c>
    </row>
    <row r="1963" spans="3:4" hidden="1" outlineLevel="1" x14ac:dyDescent="0.3">
      <c r="C1963" s="37" t="s">
        <v>804</v>
      </c>
      <c r="D1963" s="35" t="s">
        <v>762</v>
      </c>
    </row>
    <row r="1964" spans="3:4" hidden="1" outlineLevel="1" x14ac:dyDescent="0.3">
      <c r="C1964" s="37" t="s">
        <v>805</v>
      </c>
      <c r="D1964" s="35" t="s">
        <v>763</v>
      </c>
    </row>
    <row r="1965" spans="3:4" hidden="1" outlineLevel="1" x14ac:dyDescent="0.3">
      <c r="C1965" s="37" t="s">
        <v>806</v>
      </c>
      <c r="D1965" s="35" t="s">
        <v>764</v>
      </c>
    </row>
    <row r="1966" spans="3:4" hidden="1" outlineLevel="1" x14ac:dyDescent="0.3">
      <c r="C1966" s="37" t="s">
        <v>807</v>
      </c>
      <c r="D1966" s="35" t="s">
        <v>765</v>
      </c>
    </row>
    <row r="1967" spans="3:4" hidden="1" outlineLevel="1" x14ac:dyDescent="0.3">
      <c r="C1967" s="37" t="s">
        <v>808</v>
      </c>
      <c r="D1967" s="35" t="s">
        <v>766</v>
      </c>
    </row>
    <row r="1968" spans="3:4" hidden="1" outlineLevel="1" x14ac:dyDescent="0.3">
      <c r="C1968" s="37" t="s">
        <v>809</v>
      </c>
      <c r="D1968" s="35" t="s">
        <v>767</v>
      </c>
    </row>
    <row r="1969" spans="2:4" hidden="1" outlineLevel="1" x14ac:dyDescent="0.3">
      <c r="C1969" s="37" t="s">
        <v>810</v>
      </c>
      <c r="D1969" s="35" t="s">
        <v>768</v>
      </c>
    </row>
    <row r="1970" spans="2:4" hidden="1" outlineLevel="1" x14ac:dyDescent="0.3">
      <c r="C1970" s="37" t="s">
        <v>811</v>
      </c>
      <c r="D1970" s="35" t="s">
        <v>769</v>
      </c>
    </row>
    <row r="1971" spans="2:4" hidden="1" outlineLevel="1" x14ac:dyDescent="0.3">
      <c r="C1971" s="37" t="s">
        <v>812</v>
      </c>
      <c r="D1971" s="35" t="s">
        <v>770</v>
      </c>
    </row>
    <row r="1972" spans="2:4" hidden="1" outlineLevel="1" x14ac:dyDescent="0.3">
      <c r="C1972" s="37" t="s">
        <v>813</v>
      </c>
      <c r="D1972" s="35" t="s">
        <v>771</v>
      </c>
    </row>
    <row r="1973" spans="2:4" hidden="1" outlineLevel="1" x14ac:dyDescent="0.3">
      <c r="C1973" s="37" t="s">
        <v>814</v>
      </c>
      <c r="D1973" s="35" t="s">
        <v>772</v>
      </c>
    </row>
    <row r="1974" spans="2:4" hidden="1" outlineLevel="1" x14ac:dyDescent="0.3">
      <c r="C1974" s="37" t="s">
        <v>815</v>
      </c>
      <c r="D1974" s="35" t="s">
        <v>773</v>
      </c>
    </row>
    <row r="1975" spans="2:4" hidden="1" outlineLevel="1" x14ac:dyDescent="0.3">
      <c r="C1975" s="37" t="s">
        <v>816</v>
      </c>
      <c r="D1975" s="35" t="s">
        <v>774</v>
      </c>
    </row>
    <row r="1976" spans="2:4" hidden="1" outlineLevel="1" x14ac:dyDescent="0.3">
      <c r="C1976" s="37" t="s">
        <v>817</v>
      </c>
      <c r="D1976" s="35" t="s">
        <v>775</v>
      </c>
    </row>
    <row r="1977" spans="2:4" hidden="1" outlineLevel="1" x14ac:dyDescent="0.3">
      <c r="C1977" s="37" t="s">
        <v>818</v>
      </c>
      <c r="D1977" s="35" t="s">
        <v>776</v>
      </c>
    </row>
    <row r="1978" spans="2:4" hidden="1" outlineLevel="1" x14ac:dyDescent="0.3">
      <c r="C1978" s="37" t="s">
        <v>819</v>
      </c>
      <c r="D1978" s="35" t="s">
        <v>777</v>
      </c>
    </row>
    <row r="1979" spans="2:4" collapsed="1" x14ac:dyDescent="0.3">
      <c r="B1979" s="43" t="s">
        <v>245</v>
      </c>
      <c r="C1979" t="s">
        <v>137</v>
      </c>
    </row>
    <row r="1980" spans="2:4" hidden="1" outlineLevel="1" x14ac:dyDescent="0.3">
      <c r="C1980" s="40" t="s">
        <v>779</v>
      </c>
      <c r="D1980" s="35" t="s">
        <v>745</v>
      </c>
    </row>
    <row r="1981" spans="2:4" hidden="1" outlineLevel="1" x14ac:dyDescent="0.3">
      <c r="C1981" s="41" t="s">
        <v>780</v>
      </c>
      <c r="D1981" s="42" t="s">
        <v>820</v>
      </c>
    </row>
    <row r="1982" spans="2:4" hidden="1" outlineLevel="1" x14ac:dyDescent="0.3">
      <c r="C1982" s="40" t="s">
        <v>781</v>
      </c>
      <c r="D1982" s="35" t="s">
        <v>746</v>
      </c>
    </row>
    <row r="1983" spans="2:4" hidden="1" outlineLevel="1" x14ac:dyDescent="0.3">
      <c r="C1983" s="41" t="s">
        <v>782</v>
      </c>
      <c r="D1983" s="35" t="s">
        <v>367</v>
      </c>
    </row>
    <row r="1984" spans="2:4" hidden="1" outlineLevel="1" x14ac:dyDescent="0.3">
      <c r="C1984" s="41" t="s">
        <v>785</v>
      </c>
      <c r="D1984" s="35" t="s">
        <v>68</v>
      </c>
    </row>
    <row r="1985" spans="3:4" hidden="1" outlineLevel="1" x14ac:dyDescent="0.3">
      <c r="C1985" s="41" t="s">
        <v>786</v>
      </c>
      <c r="D1985" s="35" t="s">
        <v>747</v>
      </c>
    </row>
    <row r="1986" spans="3:4" hidden="1" outlineLevel="1" x14ac:dyDescent="0.3">
      <c r="C1986" s="41" t="s">
        <v>783</v>
      </c>
      <c r="D1986" s="35" t="s">
        <v>11</v>
      </c>
    </row>
    <row r="1987" spans="3:4" hidden="1" outlineLevel="1" x14ac:dyDescent="0.3">
      <c r="C1987" s="41" t="s">
        <v>784</v>
      </c>
      <c r="D1987" s="35" t="s">
        <v>125</v>
      </c>
    </row>
    <row r="1988" spans="3:4" hidden="1" outlineLevel="1" x14ac:dyDescent="0.3">
      <c r="C1988" s="41" t="s">
        <v>787</v>
      </c>
      <c r="D1988" s="35" t="s">
        <v>748</v>
      </c>
    </row>
    <row r="1989" spans="3:4" hidden="1" outlineLevel="1" x14ac:dyDescent="0.3">
      <c r="C1989" s="37" t="s">
        <v>788</v>
      </c>
      <c r="D1989" s="35" t="s">
        <v>517</v>
      </c>
    </row>
    <row r="1990" spans="3:4" hidden="1" outlineLevel="1" x14ac:dyDescent="0.3">
      <c r="C1990" s="37" t="s">
        <v>789</v>
      </c>
      <c r="D1990" s="35" t="s">
        <v>386</v>
      </c>
    </row>
    <row r="1991" spans="3:4" hidden="1" outlineLevel="1" x14ac:dyDescent="0.3">
      <c r="C1991" s="37" t="s">
        <v>790</v>
      </c>
      <c r="D1991" s="35" t="s">
        <v>299</v>
      </c>
    </row>
    <row r="1992" spans="3:4" hidden="1" outlineLevel="1" x14ac:dyDescent="0.3">
      <c r="C1992" s="37" t="s">
        <v>791</v>
      </c>
      <c r="D1992" s="35" t="s">
        <v>749</v>
      </c>
    </row>
    <row r="1993" spans="3:4" hidden="1" outlineLevel="1" x14ac:dyDescent="0.3">
      <c r="C1993" s="37" t="s">
        <v>792</v>
      </c>
      <c r="D1993" s="35" t="s">
        <v>750</v>
      </c>
    </row>
    <row r="1994" spans="3:4" hidden="1" outlineLevel="1" x14ac:dyDescent="0.3">
      <c r="C1994" s="37" t="s">
        <v>793</v>
      </c>
      <c r="D1994" s="35" t="s">
        <v>751</v>
      </c>
    </row>
    <row r="1995" spans="3:4" hidden="1" outlineLevel="1" x14ac:dyDescent="0.3">
      <c r="C1995" s="37" t="s">
        <v>794</v>
      </c>
      <c r="D1995" s="35" t="s">
        <v>752</v>
      </c>
    </row>
    <row r="1996" spans="3:4" hidden="1" outlineLevel="1" x14ac:dyDescent="0.3">
      <c r="C1996" s="37" t="s">
        <v>795</v>
      </c>
      <c r="D1996" s="35" t="s">
        <v>753</v>
      </c>
    </row>
    <row r="1997" spans="3:4" hidden="1" outlineLevel="1" x14ac:dyDescent="0.3">
      <c r="C1997" s="37" t="s">
        <v>796</v>
      </c>
      <c r="D1997" s="35" t="s">
        <v>754</v>
      </c>
    </row>
    <row r="1998" spans="3:4" hidden="1" outlineLevel="1" x14ac:dyDescent="0.3">
      <c r="C1998" s="37" t="s">
        <v>797</v>
      </c>
      <c r="D1998" s="35" t="s">
        <v>755</v>
      </c>
    </row>
    <row r="1999" spans="3:4" hidden="1" outlineLevel="1" x14ac:dyDescent="0.3">
      <c r="C1999" s="37" t="s">
        <v>798</v>
      </c>
      <c r="D1999" s="35" t="s">
        <v>756</v>
      </c>
    </row>
    <row r="2000" spans="3:4" hidden="1" outlineLevel="1" x14ac:dyDescent="0.3">
      <c r="C2000" s="37" t="s">
        <v>799</v>
      </c>
      <c r="D2000" s="35" t="s">
        <v>757</v>
      </c>
    </row>
    <row r="2001" spans="3:4" hidden="1" outlineLevel="1" x14ac:dyDescent="0.3">
      <c r="C2001" s="37" t="s">
        <v>800</v>
      </c>
      <c r="D2001" s="35" t="s">
        <v>758</v>
      </c>
    </row>
    <row r="2002" spans="3:4" hidden="1" outlineLevel="1" x14ac:dyDescent="0.3">
      <c r="C2002" s="37" t="s">
        <v>801</v>
      </c>
      <c r="D2002" s="35" t="s">
        <v>759</v>
      </c>
    </row>
    <row r="2003" spans="3:4" hidden="1" outlineLevel="1" x14ac:dyDescent="0.3">
      <c r="C2003" s="37" t="s">
        <v>802</v>
      </c>
      <c r="D2003" s="35" t="s">
        <v>760</v>
      </c>
    </row>
    <row r="2004" spans="3:4" hidden="1" outlineLevel="1" x14ac:dyDescent="0.3">
      <c r="C2004" s="37" t="s">
        <v>803</v>
      </c>
      <c r="D2004" s="35" t="s">
        <v>761</v>
      </c>
    </row>
    <row r="2005" spans="3:4" hidden="1" outlineLevel="1" x14ac:dyDescent="0.3">
      <c r="C2005" s="37" t="s">
        <v>804</v>
      </c>
      <c r="D2005" s="35" t="s">
        <v>762</v>
      </c>
    </row>
    <row r="2006" spans="3:4" hidden="1" outlineLevel="1" x14ac:dyDescent="0.3">
      <c r="C2006" s="37" t="s">
        <v>805</v>
      </c>
      <c r="D2006" s="35" t="s">
        <v>763</v>
      </c>
    </row>
    <row r="2007" spans="3:4" hidden="1" outlineLevel="1" x14ac:dyDescent="0.3">
      <c r="C2007" s="37" t="s">
        <v>806</v>
      </c>
      <c r="D2007" s="35" t="s">
        <v>764</v>
      </c>
    </row>
    <row r="2008" spans="3:4" hidden="1" outlineLevel="1" x14ac:dyDescent="0.3">
      <c r="C2008" s="37" t="s">
        <v>807</v>
      </c>
      <c r="D2008" s="35" t="s">
        <v>765</v>
      </c>
    </row>
    <row r="2009" spans="3:4" hidden="1" outlineLevel="1" x14ac:dyDescent="0.3">
      <c r="C2009" s="37" t="s">
        <v>808</v>
      </c>
      <c r="D2009" s="35" t="s">
        <v>766</v>
      </c>
    </row>
    <row r="2010" spans="3:4" hidden="1" outlineLevel="1" x14ac:dyDescent="0.3">
      <c r="C2010" s="37" t="s">
        <v>809</v>
      </c>
      <c r="D2010" s="35" t="s">
        <v>767</v>
      </c>
    </row>
    <row r="2011" spans="3:4" hidden="1" outlineLevel="1" x14ac:dyDescent="0.3">
      <c r="C2011" s="37" t="s">
        <v>810</v>
      </c>
      <c r="D2011" s="35" t="s">
        <v>768</v>
      </c>
    </row>
    <row r="2012" spans="3:4" hidden="1" outlineLevel="1" x14ac:dyDescent="0.3">
      <c r="C2012" s="37" t="s">
        <v>811</v>
      </c>
      <c r="D2012" s="35" t="s">
        <v>769</v>
      </c>
    </row>
    <row r="2013" spans="3:4" hidden="1" outlineLevel="1" x14ac:dyDescent="0.3">
      <c r="C2013" s="37" t="s">
        <v>812</v>
      </c>
      <c r="D2013" s="35" t="s">
        <v>770</v>
      </c>
    </row>
    <row r="2014" spans="3:4" hidden="1" outlineLevel="1" x14ac:dyDescent="0.3">
      <c r="C2014" s="37" t="s">
        <v>813</v>
      </c>
      <c r="D2014" s="35" t="s">
        <v>771</v>
      </c>
    </row>
    <row r="2015" spans="3:4" hidden="1" outlineLevel="1" x14ac:dyDescent="0.3">
      <c r="C2015" s="37" t="s">
        <v>814</v>
      </c>
      <c r="D2015" s="35" t="s">
        <v>772</v>
      </c>
    </row>
    <row r="2016" spans="3:4" hidden="1" outlineLevel="1" x14ac:dyDescent="0.3">
      <c r="C2016" s="37" t="s">
        <v>815</v>
      </c>
      <c r="D2016" s="35" t="s">
        <v>773</v>
      </c>
    </row>
    <row r="2017" spans="2:4" hidden="1" outlineLevel="1" x14ac:dyDescent="0.3">
      <c r="C2017" s="37" t="s">
        <v>816</v>
      </c>
      <c r="D2017" s="35" t="s">
        <v>774</v>
      </c>
    </row>
    <row r="2018" spans="2:4" hidden="1" outlineLevel="1" x14ac:dyDescent="0.3">
      <c r="C2018" s="37" t="s">
        <v>817</v>
      </c>
      <c r="D2018" s="35" t="s">
        <v>775</v>
      </c>
    </row>
    <row r="2019" spans="2:4" hidden="1" outlineLevel="1" x14ac:dyDescent="0.3">
      <c r="C2019" s="37" t="s">
        <v>818</v>
      </c>
      <c r="D2019" s="35" t="s">
        <v>776</v>
      </c>
    </row>
    <row r="2020" spans="2:4" hidden="1" outlineLevel="1" x14ac:dyDescent="0.3">
      <c r="C2020" s="37" t="s">
        <v>819</v>
      </c>
      <c r="D2020" s="35" t="s">
        <v>777</v>
      </c>
    </row>
    <row r="2021" spans="2:4" collapsed="1" x14ac:dyDescent="0.3">
      <c r="B2021" s="43" t="s">
        <v>492</v>
      </c>
      <c r="C2021" t="s">
        <v>493</v>
      </c>
    </row>
    <row r="2022" spans="2:4" hidden="1" outlineLevel="1" x14ac:dyDescent="0.3">
      <c r="C2022" s="40" t="s">
        <v>779</v>
      </c>
      <c r="D2022" s="35" t="s">
        <v>745</v>
      </c>
    </row>
    <row r="2023" spans="2:4" hidden="1" outlineLevel="1" x14ac:dyDescent="0.3">
      <c r="C2023" s="41" t="s">
        <v>780</v>
      </c>
      <c r="D2023" s="42" t="s">
        <v>820</v>
      </c>
    </row>
    <row r="2024" spans="2:4" hidden="1" outlineLevel="1" x14ac:dyDescent="0.3">
      <c r="C2024" s="40" t="s">
        <v>781</v>
      </c>
      <c r="D2024" s="35" t="s">
        <v>746</v>
      </c>
    </row>
    <row r="2025" spans="2:4" hidden="1" outlineLevel="1" x14ac:dyDescent="0.3">
      <c r="C2025" s="41" t="s">
        <v>782</v>
      </c>
      <c r="D2025" s="35" t="s">
        <v>367</v>
      </c>
    </row>
    <row r="2026" spans="2:4" hidden="1" outlineLevel="1" x14ac:dyDescent="0.3">
      <c r="C2026" s="41" t="s">
        <v>785</v>
      </c>
      <c r="D2026" s="35" t="s">
        <v>68</v>
      </c>
    </row>
    <row r="2027" spans="2:4" hidden="1" outlineLevel="1" x14ac:dyDescent="0.3">
      <c r="C2027" s="41" t="s">
        <v>786</v>
      </c>
      <c r="D2027" s="35" t="s">
        <v>747</v>
      </c>
    </row>
    <row r="2028" spans="2:4" hidden="1" outlineLevel="1" x14ac:dyDescent="0.3">
      <c r="C2028" s="41" t="s">
        <v>783</v>
      </c>
      <c r="D2028" s="35" t="s">
        <v>11</v>
      </c>
    </row>
    <row r="2029" spans="2:4" hidden="1" outlineLevel="1" x14ac:dyDescent="0.3">
      <c r="C2029" s="41" t="s">
        <v>784</v>
      </c>
      <c r="D2029" s="35" t="s">
        <v>125</v>
      </c>
    </row>
    <row r="2030" spans="2:4" hidden="1" outlineLevel="1" x14ac:dyDescent="0.3">
      <c r="C2030" s="41" t="s">
        <v>787</v>
      </c>
      <c r="D2030" s="35" t="s">
        <v>748</v>
      </c>
    </row>
    <row r="2031" spans="2:4" hidden="1" outlineLevel="1" x14ac:dyDescent="0.3">
      <c r="C2031" s="37" t="s">
        <v>788</v>
      </c>
      <c r="D2031" s="35" t="s">
        <v>517</v>
      </c>
    </row>
    <row r="2032" spans="2:4" hidden="1" outlineLevel="1" x14ac:dyDescent="0.3">
      <c r="C2032" s="37" t="s">
        <v>789</v>
      </c>
      <c r="D2032" s="35" t="s">
        <v>386</v>
      </c>
    </row>
    <row r="2033" spans="3:4" hidden="1" outlineLevel="1" x14ac:dyDescent="0.3">
      <c r="C2033" s="37" t="s">
        <v>790</v>
      </c>
      <c r="D2033" s="35" t="s">
        <v>299</v>
      </c>
    </row>
    <row r="2034" spans="3:4" hidden="1" outlineLevel="1" x14ac:dyDescent="0.3">
      <c r="C2034" s="37" t="s">
        <v>791</v>
      </c>
      <c r="D2034" s="35" t="s">
        <v>749</v>
      </c>
    </row>
    <row r="2035" spans="3:4" hidden="1" outlineLevel="1" x14ac:dyDescent="0.3">
      <c r="C2035" s="37" t="s">
        <v>792</v>
      </c>
      <c r="D2035" s="35" t="s">
        <v>750</v>
      </c>
    </row>
    <row r="2036" spans="3:4" hidden="1" outlineLevel="1" x14ac:dyDescent="0.3">
      <c r="C2036" s="37" t="s">
        <v>793</v>
      </c>
      <c r="D2036" s="35" t="s">
        <v>751</v>
      </c>
    </row>
    <row r="2037" spans="3:4" hidden="1" outlineLevel="1" x14ac:dyDescent="0.3">
      <c r="C2037" s="37" t="s">
        <v>794</v>
      </c>
      <c r="D2037" s="35" t="s">
        <v>752</v>
      </c>
    </row>
    <row r="2038" spans="3:4" hidden="1" outlineLevel="1" x14ac:dyDescent="0.3">
      <c r="C2038" s="37" t="s">
        <v>795</v>
      </c>
      <c r="D2038" s="35" t="s">
        <v>753</v>
      </c>
    </row>
    <row r="2039" spans="3:4" hidden="1" outlineLevel="1" x14ac:dyDescent="0.3">
      <c r="C2039" s="37" t="s">
        <v>796</v>
      </c>
      <c r="D2039" s="35" t="s">
        <v>754</v>
      </c>
    </row>
    <row r="2040" spans="3:4" hidden="1" outlineLevel="1" x14ac:dyDescent="0.3">
      <c r="C2040" s="37" t="s">
        <v>797</v>
      </c>
      <c r="D2040" s="35" t="s">
        <v>755</v>
      </c>
    </row>
    <row r="2041" spans="3:4" hidden="1" outlineLevel="1" x14ac:dyDescent="0.3">
      <c r="C2041" s="37" t="s">
        <v>798</v>
      </c>
      <c r="D2041" s="35" t="s">
        <v>756</v>
      </c>
    </row>
    <row r="2042" spans="3:4" hidden="1" outlineLevel="1" x14ac:dyDescent="0.3">
      <c r="C2042" s="37" t="s">
        <v>799</v>
      </c>
      <c r="D2042" s="35" t="s">
        <v>757</v>
      </c>
    </row>
    <row r="2043" spans="3:4" hidden="1" outlineLevel="1" x14ac:dyDescent="0.3">
      <c r="C2043" s="37" t="s">
        <v>800</v>
      </c>
      <c r="D2043" s="35" t="s">
        <v>758</v>
      </c>
    </row>
    <row r="2044" spans="3:4" hidden="1" outlineLevel="1" x14ac:dyDescent="0.3">
      <c r="C2044" s="37" t="s">
        <v>801</v>
      </c>
      <c r="D2044" s="35" t="s">
        <v>759</v>
      </c>
    </row>
    <row r="2045" spans="3:4" hidden="1" outlineLevel="1" x14ac:dyDescent="0.3">
      <c r="C2045" s="37" t="s">
        <v>802</v>
      </c>
      <c r="D2045" s="35" t="s">
        <v>760</v>
      </c>
    </row>
    <row r="2046" spans="3:4" hidden="1" outlineLevel="1" x14ac:dyDescent="0.3">
      <c r="C2046" s="37" t="s">
        <v>803</v>
      </c>
      <c r="D2046" s="35" t="s">
        <v>761</v>
      </c>
    </row>
    <row r="2047" spans="3:4" hidden="1" outlineLevel="1" x14ac:dyDescent="0.3">
      <c r="C2047" s="37" t="s">
        <v>804</v>
      </c>
      <c r="D2047" s="35" t="s">
        <v>762</v>
      </c>
    </row>
    <row r="2048" spans="3:4" hidden="1" outlineLevel="1" x14ac:dyDescent="0.3">
      <c r="C2048" s="37" t="s">
        <v>805</v>
      </c>
      <c r="D2048" s="35" t="s">
        <v>763</v>
      </c>
    </row>
    <row r="2049" spans="2:4" hidden="1" outlineLevel="1" x14ac:dyDescent="0.3">
      <c r="C2049" s="37" t="s">
        <v>806</v>
      </c>
      <c r="D2049" s="35" t="s">
        <v>764</v>
      </c>
    </row>
    <row r="2050" spans="2:4" hidden="1" outlineLevel="1" x14ac:dyDescent="0.3">
      <c r="C2050" s="37" t="s">
        <v>807</v>
      </c>
      <c r="D2050" s="35" t="s">
        <v>765</v>
      </c>
    </row>
    <row r="2051" spans="2:4" hidden="1" outlineLevel="1" x14ac:dyDescent="0.3">
      <c r="C2051" s="37" t="s">
        <v>808</v>
      </c>
      <c r="D2051" s="35" t="s">
        <v>766</v>
      </c>
    </row>
    <row r="2052" spans="2:4" hidden="1" outlineLevel="1" x14ac:dyDescent="0.3">
      <c r="C2052" s="37" t="s">
        <v>809</v>
      </c>
      <c r="D2052" s="35" t="s">
        <v>767</v>
      </c>
    </row>
    <row r="2053" spans="2:4" hidden="1" outlineLevel="1" x14ac:dyDescent="0.3">
      <c r="C2053" s="37" t="s">
        <v>810</v>
      </c>
      <c r="D2053" s="35" t="s">
        <v>768</v>
      </c>
    </row>
    <row r="2054" spans="2:4" hidden="1" outlineLevel="1" x14ac:dyDescent="0.3">
      <c r="C2054" s="37" t="s">
        <v>811</v>
      </c>
      <c r="D2054" s="35" t="s">
        <v>769</v>
      </c>
    </row>
    <row r="2055" spans="2:4" hidden="1" outlineLevel="1" x14ac:dyDescent="0.3">
      <c r="C2055" s="37" t="s">
        <v>812</v>
      </c>
      <c r="D2055" s="35" t="s">
        <v>770</v>
      </c>
    </row>
    <row r="2056" spans="2:4" hidden="1" outlineLevel="1" x14ac:dyDescent="0.3">
      <c r="C2056" s="37" t="s">
        <v>813</v>
      </c>
      <c r="D2056" s="35" t="s">
        <v>771</v>
      </c>
    </row>
    <row r="2057" spans="2:4" hidden="1" outlineLevel="1" x14ac:dyDescent="0.3">
      <c r="C2057" s="37" t="s">
        <v>814</v>
      </c>
      <c r="D2057" s="35" t="s">
        <v>772</v>
      </c>
    </row>
    <row r="2058" spans="2:4" hidden="1" outlineLevel="1" x14ac:dyDescent="0.3">
      <c r="C2058" s="37" t="s">
        <v>815</v>
      </c>
      <c r="D2058" s="35" t="s">
        <v>773</v>
      </c>
    </row>
    <row r="2059" spans="2:4" hidden="1" outlineLevel="1" x14ac:dyDescent="0.3">
      <c r="C2059" s="37" t="s">
        <v>816</v>
      </c>
      <c r="D2059" s="35" t="s">
        <v>774</v>
      </c>
    </row>
    <row r="2060" spans="2:4" hidden="1" outlineLevel="1" x14ac:dyDescent="0.3">
      <c r="C2060" s="37" t="s">
        <v>817</v>
      </c>
      <c r="D2060" s="35" t="s">
        <v>775</v>
      </c>
    </row>
    <row r="2061" spans="2:4" hidden="1" outlineLevel="1" x14ac:dyDescent="0.3">
      <c r="C2061" s="37" t="s">
        <v>818</v>
      </c>
      <c r="D2061" s="35" t="s">
        <v>776</v>
      </c>
    </row>
    <row r="2062" spans="2:4" hidden="1" outlineLevel="1" x14ac:dyDescent="0.3">
      <c r="C2062" s="37" t="s">
        <v>819</v>
      </c>
      <c r="D2062" s="35" t="s">
        <v>777</v>
      </c>
    </row>
    <row r="2063" spans="2:4" collapsed="1" x14ac:dyDescent="0.3">
      <c r="B2063" s="43" t="s">
        <v>401</v>
      </c>
      <c r="C2063" t="s">
        <v>302</v>
      </c>
    </row>
    <row r="2064" spans="2:4" hidden="1" outlineLevel="1" x14ac:dyDescent="0.3">
      <c r="C2064" s="40" t="s">
        <v>779</v>
      </c>
      <c r="D2064" s="35" t="s">
        <v>745</v>
      </c>
    </row>
    <row r="2065" spans="3:4" hidden="1" outlineLevel="1" x14ac:dyDescent="0.3">
      <c r="C2065" s="41" t="s">
        <v>780</v>
      </c>
      <c r="D2065" s="42" t="s">
        <v>820</v>
      </c>
    </row>
    <row r="2066" spans="3:4" hidden="1" outlineLevel="1" x14ac:dyDescent="0.3">
      <c r="C2066" s="40" t="s">
        <v>781</v>
      </c>
      <c r="D2066" s="35" t="s">
        <v>746</v>
      </c>
    </row>
    <row r="2067" spans="3:4" hidden="1" outlineLevel="1" x14ac:dyDescent="0.3">
      <c r="C2067" s="41" t="s">
        <v>782</v>
      </c>
      <c r="D2067" s="35" t="s">
        <v>367</v>
      </c>
    </row>
    <row r="2068" spans="3:4" hidden="1" outlineLevel="1" x14ac:dyDescent="0.3">
      <c r="C2068" s="41" t="s">
        <v>785</v>
      </c>
      <c r="D2068" s="35" t="s">
        <v>68</v>
      </c>
    </row>
    <row r="2069" spans="3:4" hidden="1" outlineLevel="1" x14ac:dyDescent="0.3">
      <c r="C2069" s="41" t="s">
        <v>786</v>
      </c>
      <c r="D2069" s="35" t="s">
        <v>747</v>
      </c>
    </row>
    <row r="2070" spans="3:4" hidden="1" outlineLevel="1" x14ac:dyDescent="0.3">
      <c r="C2070" s="41" t="s">
        <v>783</v>
      </c>
      <c r="D2070" s="35" t="s">
        <v>11</v>
      </c>
    </row>
    <row r="2071" spans="3:4" hidden="1" outlineLevel="1" x14ac:dyDescent="0.3">
      <c r="C2071" s="41" t="s">
        <v>784</v>
      </c>
      <c r="D2071" s="35" t="s">
        <v>125</v>
      </c>
    </row>
    <row r="2072" spans="3:4" hidden="1" outlineLevel="1" x14ac:dyDescent="0.3">
      <c r="C2072" s="41" t="s">
        <v>787</v>
      </c>
      <c r="D2072" s="35" t="s">
        <v>748</v>
      </c>
    </row>
    <row r="2073" spans="3:4" hidden="1" outlineLevel="1" x14ac:dyDescent="0.3">
      <c r="C2073" s="37" t="s">
        <v>788</v>
      </c>
      <c r="D2073" s="35" t="s">
        <v>517</v>
      </c>
    </row>
    <row r="2074" spans="3:4" hidden="1" outlineLevel="1" x14ac:dyDescent="0.3">
      <c r="C2074" s="37" t="s">
        <v>789</v>
      </c>
      <c r="D2074" s="35" t="s">
        <v>386</v>
      </c>
    </row>
    <row r="2075" spans="3:4" hidden="1" outlineLevel="1" x14ac:dyDescent="0.3">
      <c r="C2075" s="37" t="s">
        <v>790</v>
      </c>
      <c r="D2075" s="35" t="s">
        <v>299</v>
      </c>
    </row>
    <row r="2076" spans="3:4" hidden="1" outlineLevel="1" x14ac:dyDescent="0.3">
      <c r="C2076" s="37" t="s">
        <v>791</v>
      </c>
      <c r="D2076" s="35" t="s">
        <v>749</v>
      </c>
    </row>
    <row r="2077" spans="3:4" hidden="1" outlineLevel="1" x14ac:dyDescent="0.3">
      <c r="C2077" s="37" t="s">
        <v>792</v>
      </c>
      <c r="D2077" s="35" t="s">
        <v>750</v>
      </c>
    </row>
    <row r="2078" spans="3:4" hidden="1" outlineLevel="1" x14ac:dyDescent="0.3">
      <c r="C2078" s="37" t="s">
        <v>793</v>
      </c>
      <c r="D2078" s="35" t="s">
        <v>751</v>
      </c>
    </row>
    <row r="2079" spans="3:4" hidden="1" outlineLevel="1" x14ac:dyDescent="0.3">
      <c r="C2079" s="37" t="s">
        <v>794</v>
      </c>
      <c r="D2079" s="35" t="s">
        <v>752</v>
      </c>
    </row>
    <row r="2080" spans="3:4" hidden="1" outlineLevel="1" x14ac:dyDescent="0.3">
      <c r="C2080" s="37" t="s">
        <v>795</v>
      </c>
      <c r="D2080" s="35" t="s">
        <v>753</v>
      </c>
    </row>
    <row r="2081" spans="3:4" hidden="1" outlineLevel="1" x14ac:dyDescent="0.3">
      <c r="C2081" s="37" t="s">
        <v>796</v>
      </c>
      <c r="D2081" s="35" t="s">
        <v>754</v>
      </c>
    </row>
    <row r="2082" spans="3:4" hidden="1" outlineLevel="1" x14ac:dyDescent="0.3">
      <c r="C2082" s="37" t="s">
        <v>797</v>
      </c>
      <c r="D2082" s="35" t="s">
        <v>755</v>
      </c>
    </row>
    <row r="2083" spans="3:4" hidden="1" outlineLevel="1" x14ac:dyDescent="0.3">
      <c r="C2083" s="37" t="s">
        <v>798</v>
      </c>
      <c r="D2083" s="35" t="s">
        <v>756</v>
      </c>
    </row>
    <row r="2084" spans="3:4" hidden="1" outlineLevel="1" x14ac:dyDescent="0.3">
      <c r="C2084" s="37" t="s">
        <v>799</v>
      </c>
      <c r="D2084" s="35" t="s">
        <v>757</v>
      </c>
    </row>
    <row r="2085" spans="3:4" hidden="1" outlineLevel="1" x14ac:dyDescent="0.3">
      <c r="C2085" s="37" t="s">
        <v>800</v>
      </c>
      <c r="D2085" s="35" t="s">
        <v>758</v>
      </c>
    </row>
    <row r="2086" spans="3:4" hidden="1" outlineLevel="1" x14ac:dyDescent="0.3">
      <c r="C2086" s="37" t="s">
        <v>801</v>
      </c>
      <c r="D2086" s="35" t="s">
        <v>759</v>
      </c>
    </row>
    <row r="2087" spans="3:4" hidden="1" outlineLevel="1" x14ac:dyDescent="0.3">
      <c r="C2087" s="37" t="s">
        <v>802</v>
      </c>
      <c r="D2087" s="35" t="s">
        <v>760</v>
      </c>
    </row>
    <row r="2088" spans="3:4" hidden="1" outlineLevel="1" x14ac:dyDescent="0.3">
      <c r="C2088" s="37" t="s">
        <v>803</v>
      </c>
      <c r="D2088" s="35" t="s">
        <v>761</v>
      </c>
    </row>
    <row r="2089" spans="3:4" hidden="1" outlineLevel="1" x14ac:dyDescent="0.3">
      <c r="C2089" s="37" t="s">
        <v>804</v>
      </c>
      <c r="D2089" s="35" t="s">
        <v>762</v>
      </c>
    </row>
    <row r="2090" spans="3:4" hidden="1" outlineLevel="1" x14ac:dyDescent="0.3">
      <c r="C2090" s="37" t="s">
        <v>805</v>
      </c>
      <c r="D2090" s="35" t="s">
        <v>763</v>
      </c>
    </row>
    <row r="2091" spans="3:4" hidden="1" outlineLevel="1" x14ac:dyDescent="0.3">
      <c r="C2091" s="37" t="s">
        <v>806</v>
      </c>
      <c r="D2091" s="35" t="s">
        <v>764</v>
      </c>
    </row>
    <row r="2092" spans="3:4" hidden="1" outlineLevel="1" x14ac:dyDescent="0.3">
      <c r="C2092" s="37" t="s">
        <v>807</v>
      </c>
      <c r="D2092" s="35" t="s">
        <v>765</v>
      </c>
    </row>
    <row r="2093" spans="3:4" hidden="1" outlineLevel="1" x14ac:dyDescent="0.3">
      <c r="C2093" s="37" t="s">
        <v>808</v>
      </c>
      <c r="D2093" s="35" t="s">
        <v>766</v>
      </c>
    </row>
    <row r="2094" spans="3:4" hidden="1" outlineLevel="1" x14ac:dyDescent="0.3">
      <c r="C2094" s="37" t="s">
        <v>809</v>
      </c>
      <c r="D2094" s="35" t="s">
        <v>767</v>
      </c>
    </row>
    <row r="2095" spans="3:4" hidden="1" outlineLevel="1" x14ac:dyDescent="0.3">
      <c r="C2095" s="37" t="s">
        <v>810</v>
      </c>
      <c r="D2095" s="35" t="s">
        <v>768</v>
      </c>
    </row>
    <row r="2096" spans="3:4" hidden="1" outlineLevel="1" x14ac:dyDescent="0.3">
      <c r="C2096" s="37" t="s">
        <v>811</v>
      </c>
      <c r="D2096" s="35" t="s">
        <v>769</v>
      </c>
    </row>
    <row r="2097" spans="2:4" hidden="1" outlineLevel="1" x14ac:dyDescent="0.3">
      <c r="C2097" s="37" t="s">
        <v>812</v>
      </c>
      <c r="D2097" s="35" t="s">
        <v>770</v>
      </c>
    </row>
    <row r="2098" spans="2:4" hidden="1" outlineLevel="1" x14ac:dyDescent="0.3">
      <c r="C2098" s="37" t="s">
        <v>813</v>
      </c>
      <c r="D2098" s="35" t="s">
        <v>771</v>
      </c>
    </row>
    <row r="2099" spans="2:4" hidden="1" outlineLevel="1" x14ac:dyDescent="0.3">
      <c r="C2099" s="37" t="s">
        <v>814</v>
      </c>
      <c r="D2099" s="35" t="s">
        <v>772</v>
      </c>
    </row>
    <row r="2100" spans="2:4" hidden="1" outlineLevel="1" x14ac:dyDescent="0.3">
      <c r="C2100" s="37" t="s">
        <v>815</v>
      </c>
      <c r="D2100" s="35" t="s">
        <v>773</v>
      </c>
    </row>
    <row r="2101" spans="2:4" hidden="1" outlineLevel="1" x14ac:dyDescent="0.3">
      <c r="C2101" s="37" t="s">
        <v>816</v>
      </c>
      <c r="D2101" s="35" t="s">
        <v>774</v>
      </c>
    </row>
    <row r="2102" spans="2:4" hidden="1" outlineLevel="1" x14ac:dyDescent="0.3">
      <c r="C2102" s="37" t="s">
        <v>817</v>
      </c>
      <c r="D2102" s="35" t="s">
        <v>775</v>
      </c>
    </row>
    <row r="2103" spans="2:4" hidden="1" outlineLevel="1" x14ac:dyDescent="0.3">
      <c r="C2103" s="37" t="s">
        <v>818</v>
      </c>
      <c r="D2103" s="35" t="s">
        <v>776</v>
      </c>
    </row>
    <row r="2104" spans="2:4" hidden="1" outlineLevel="1" x14ac:dyDescent="0.3">
      <c r="C2104" s="37" t="s">
        <v>819</v>
      </c>
      <c r="D2104" s="35" t="s">
        <v>777</v>
      </c>
    </row>
    <row r="2105" spans="2:4" collapsed="1" x14ac:dyDescent="0.3">
      <c r="B2105" s="43" t="s">
        <v>325</v>
      </c>
      <c r="C2105" t="s">
        <v>313</v>
      </c>
    </row>
    <row r="2106" spans="2:4" hidden="1" outlineLevel="1" x14ac:dyDescent="0.3">
      <c r="C2106" s="40" t="s">
        <v>779</v>
      </c>
      <c r="D2106" s="35" t="s">
        <v>745</v>
      </c>
    </row>
    <row r="2107" spans="2:4" hidden="1" outlineLevel="1" x14ac:dyDescent="0.3">
      <c r="C2107" s="41" t="s">
        <v>780</v>
      </c>
      <c r="D2107" s="42" t="s">
        <v>820</v>
      </c>
    </row>
    <row r="2108" spans="2:4" hidden="1" outlineLevel="1" x14ac:dyDescent="0.3">
      <c r="C2108" s="40" t="s">
        <v>781</v>
      </c>
      <c r="D2108" s="35" t="s">
        <v>746</v>
      </c>
    </row>
    <row r="2109" spans="2:4" hidden="1" outlineLevel="1" x14ac:dyDescent="0.3">
      <c r="C2109" s="41" t="s">
        <v>782</v>
      </c>
      <c r="D2109" s="35" t="s">
        <v>367</v>
      </c>
    </row>
    <row r="2110" spans="2:4" hidden="1" outlineLevel="1" x14ac:dyDescent="0.3">
      <c r="C2110" s="41" t="s">
        <v>785</v>
      </c>
      <c r="D2110" s="35" t="s">
        <v>68</v>
      </c>
    </row>
    <row r="2111" spans="2:4" hidden="1" outlineLevel="1" x14ac:dyDescent="0.3">
      <c r="C2111" s="41" t="s">
        <v>786</v>
      </c>
      <c r="D2111" s="35" t="s">
        <v>747</v>
      </c>
    </row>
    <row r="2112" spans="2:4" hidden="1" outlineLevel="1" x14ac:dyDescent="0.3">
      <c r="C2112" s="41" t="s">
        <v>783</v>
      </c>
      <c r="D2112" s="35" t="s">
        <v>11</v>
      </c>
    </row>
    <row r="2113" spans="3:4" hidden="1" outlineLevel="1" x14ac:dyDescent="0.3">
      <c r="C2113" s="41" t="s">
        <v>784</v>
      </c>
      <c r="D2113" s="35" t="s">
        <v>125</v>
      </c>
    </row>
    <row r="2114" spans="3:4" hidden="1" outlineLevel="1" x14ac:dyDescent="0.3">
      <c r="C2114" s="41" t="s">
        <v>787</v>
      </c>
      <c r="D2114" s="35" t="s">
        <v>748</v>
      </c>
    </row>
    <row r="2115" spans="3:4" hidden="1" outlineLevel="1" x14ac:dyDescent="0.3">
      <c r="C2115" s="37" t="s">
        <v>788</v>
      </c>
      <c r="D2115" s="35" t="s">
        <v>517</v>
      </c>
    </row>
    <row r="2116" spans="3:4" hidden="1" outlineLevel="1" x14ac:dyDescent="0.3">
      <c r="C2116" s="37" t="s">
        <v>789</v>
      </c>
      <c r="D2116" s="35" t="s">
        <v>386</v>
      </c>
    </row>
    <row r="2117" spans="3:4" hidden="1" outlineLevel="1" x14ac:dyDescent="0.3">
      <c r="C2117" s="37" t="s">
        <v>790</v>
      </c>
      <c r="D2117" s="35" t="s">
        <v>299</v>
      </c>
    </row>
    <row r="2118" spans="3:4" hidden="1" outlineLevel="1" x14ac:dyDescent="0.3">
      <c r="C2118" s="37" t="s">
        <v>791</v>
      </c>
      <c r="D2118" s="35" t="s">
        <v>749</v>
      </c>
    </row>
    <row r="2119" spans="3:4" hidden="1" outlineLevel="1" x14ac:dyDescent="0.3">
      <c r="C2119" s="37" t="s">
        <v>792</v>
      </c>
      <c r="D2119" s="35" t="s">
        <v>750</v>
      </c>
    </row>
    <row r="2120" spans="3:4" hidden="1" outlineLevel="1" x14ac:dyDescent="0.3">
      <c r="C2120" s="37" t="s">
        <v>793</v>
      </c>
      <c r="D2120" s="35" t="s">
        <v>751</v>
      </c>
    </row>
    <row r="2121" spans="3:4" hidden="1" outlineLevel="1" x14ac:dyDescent="0.3">
      <c r="C2121" s="37" t="s">
        <v>794</v>
      </c>
      <c r="D2121" s="35" t="s">
        <v>752</v>
      </c>
    </row>
    <row r="2122" spans="3:4" hidden="1" outlineLevel="1" x14ac:dyDescent="0.3">
      <c r="C2122" s="37" t="s">
        <v>795</v>
      </c>
      <c r="D2122" s="35" t="s">
        <v>753</v>
      </c>
    </row>
    <row r="2123" spans="3:4" hidden="1" outlineLevel="1" x14ac:dyDescent="0.3">
      <c r="C2123" s="37" t="s">
        <v>796</v>
      </c>
      <c r="D2123" s="35" t="s">
        <v>754</v>
      </c>
    </row>
    <row r="2124" spans="3:4" hidden="1" outlineLevel="1" x14ac:dyDescent="0.3">
      <c r="C2124" s="37" t="s">
        <v>797</v>
      </c>
      <c r="D2124" s="35" t="s">
        <v>755</v>
      </c>
    </row>
    <row r="2125" spans="3:4" hidden="1" outlineLevel="1" x14ac:dyDescent="0.3">
      <c r="C2125" s="37" t="s">
        <v>798</v>
      </c>
      <c r="D2125" s="35" t="s">
        <v>756</v>
      </c>
    </row>
    <row r="2126" spans="3:4" hidden="1" outlineLevel="1" x14ac:dyDescent="0.3">
      <c r="C2126" s="37" t="s">
        <v>799</v>
      </c>
      <c r="D2126" s="35" t="s">
        <v>757</v>
      </c>
    </row>
    <row r="2127" spans="3:4" hidden="1" outlineLevel="1" x14ac:dyDescent="0.3">
      <c r="C2127" s="37" t="s">
        <v>800</v>
      </c>
      <c r="D2127" s="35" t="s">
        <v>758</v>
      </c>
    </row>
    <row r="2128" spans="3:4" hidden="1" outlineLevel="1" x14ac:dyDescent="0.3">
      <c r="C2128" s="37" t="s">
        <v>801</v>
      </c>
      <c r="D2128" s="35" t="s">
        <v>759</v>
      </c>
    </row>
    <row r="2129" spans="3:4" hidden="1" outlineLevel="1" x14ac:dyDescent="0.3">
      <c r="C2129" s="37" t="s">
        <v>802</v>
      </c>
      <c r="D2129" s="35" t="s">
        <v>760</v>
      </c>
    </row>
    <row r="2130" spans="3:4" hidden="1" outlineLevel="1" x14ac:dyDescent="0.3">
      <c r="C2130" s="37" t="s">
        <v>803</v>
      </c>
      <c r="D2130" s="35" t="s">
        <v>761</v>
      </c>
    </row>
    <row r="2131" spans="3:4" hidden="1" outlineLevel="1" x14ac:dyDescent="0.3">
      <c r="C2131" s="37" t="s">
        <v>804</v>
      </c>
      <c r="D2131" s="35" t="s">
        <v>762</v>
      </c>
    </row>
    <row r="2132" spans="3:4" hidden="1" outlineLevel="1" x14ac:dyDescent="0.3">
      <c r="C2132" s="37" t="s">
        <v>805</v>
      </c>
      <c r="D2132" s="35" t="s">
        <v>763</v>
      </c>
    </row>
    <row r="2133" spans="3:4" hidden="1" outlineLevel="1" x14ac:dyDescent="0.3">
      <c r="C2133" s="37" t="s">
        <v>806</v>
      </c>
      <c r="D2133" s="35" t="s">
        <v>764</v>
      </c>
    </row>
    <row r="2134" spans="3:4" hidden="1" outlineLevel="1" x14ac:dyDescent="0.3">
      <c r="C2134" s="37" t="s">
        <v>807</v>
      </c>
      <c r="D2134" s="35" t="s">
        <v>765</v>
      </c>
    </row>
    <row r="2135" spans="3:4" hidden="1" outlineLevel="1" x14ac:dyDescent="0.3">
      <c r="C2135" s="37" t="s">
        <v>808</v>
      </c>
      <c r="D2135" s="35" t="s">
        <v>766</v>
      </c>
    </row>
    <row r="2136" spans="3:4" hidden="1" outlineLevel="1" x14ac:dyDescent="0.3">
      <c r="C2136" s="37" t="s">
        <v>809</v>
      </c>
      <c r="D2136" s="35" t="s">
        <v>767</v>
      </c>
    </row>
    <row r="2137" spans="3:4" hidden="1" outlineLevel="1" x14ac:dyDescent="0.3">
      <c r="C2137" s="37" t="s">
        <v>810</v>
      </c>
      <c r="D2137" s="35" t="s">
        <v>768</v>
      </c>
    </row>
    <row r="2138" spans="3:4" hidden="1" outlineLevel="1" x14ac:dyDescent="0.3">
      <c r="C2138" s="37" t="s">
        <v>811</v>
      </c>
      <c r="D2138" s="35" t="s">
        <v>769</v>
      </c>
    </row>
    <row r="2139" spans="3:4" hidden="1" outlineLevel="1" x14ac:dyDescent="0.3">
      <c r="C2139" s="37" t="s">
        <v>812</v>
      </c>
      <c r="D2139" s="35" t="s">
        <v>770</v>
      </c>
    </row>
    <row r="2140" spans="3:4" hidden="1" outlineLevel="1" x14ac:dyDescent="0.3">
      <c r="C2140" s="37" t="s">
        <v>813</v>
      </c>
      <c r="D2140" s="35" t="s">
        <v>771</v>
      </c>
    </row>
    <row r="2141" spans="3:4" hidden="1" outlineLevel="1" x14ac:dyDescent="0.3">
      <c r="C2141" s="37" t="s">
        <v>814</v>
      </c>
      <c r="D2141" s="35" t="s">
        <v>772</v>
      </c>
    </row>
    <row r="2142" spans="3:4" hidden="1" outlineLevel="1" x14ac:dyDescent="0.3">
      <c r="C2142" s="37" t="s">
        <v>815</v>
      </c>
      <c r="D2142" s="35" t="s">
        <v>773</v>
      </c>
    </row>
    <row r="2143" spans="3:4" hidden="1" outlineLevel="1" x14ac:dyDescent="0.3">
      <c r="C2143" s="37" t="s">
        <v>816</v>
      </c>
      <c r="D2143" s="35" t="s">
        <v>774</v>
      </c>
    </row>
    <row r="2144" spans="3:4" hidden="1" outlineLevel="1" x14ac:dyDescent="0.3">
      <c r="C2144" s="37" t="s">
        <v>817</v>
      </c>
      <c r="D2144" s="35" t="s">
        <v>775</v>
      </c>
    </row>
    <row r="2145" spans="2:4" hidden="1" outlineLevel="1" x14ac:dyDescent="0.3">
      <c r="C2145" s="37" t="s">
        <v>818</v>
      </c>
      <c r="D2145" s="35" t="s">
        <v>776</v>
      </c>
    </row>
    <row r="2146" spans="2:4" hidden="1" outlineLevel="1" x14ac:dyDescent="0.3">
      <c r="C2146" s="37" t="s">
        <v>819</v>
      </c>
      <c r="D2146" s="35" t="s">
        <v>777</v>
      </c>
    </row>
    <row r="2147" spans="2:4" collapsed="1" x14ac:dyDescent="0.3">
      <c r="B2147" s="43" t="s">
        <v>596</v>
      </c>
      <c r="C2147" t="s">
        <v>313</v>
      </c>
    </row>
    <row r="2148" spans="2:4" hidden="1" outlineLevel="1" x14ac:dyDescent="0.3">
      <c r="C2148" s="40" t="s">
        <v>779</v>
      </c>
      <c r="D2148" s="35" t="s">
        <v>745</v>
      </c>
    </row>
    <row r="2149" spans="2:4" hidden="1" outlineLevel="1" x14ac:dyDescent="0.3">
      <c r="C2149" s="41" t="s">
        <v>780</v>
      </c>
      <c r="D2149" s="42" t="s">
        <v>820</v>
      </c>
    </row>
    <row r="2150" spans="2:4" hidden="1" outlineLevel="1" x14ac:dyDescent="0.3">
      <c r="C2150" s="40" t="s">
        <v>781</v>
      </c>
      <c r="D2150" s="35" t="s">
        <v>746</v>
      </c>
    </row>
    <row r="2151" spans="2:4" hidden="1" outlineLevel="1" x14ac:dyDescent="0.3">
      <c r="C2151" s="41" t="s">
        <v>782</v>
      </c>
      <c r="D2151" s="35" t="s">
        <v>367</v>
      </c>
    </row>
    <row r="2152" spans="2:4" hidden="1" outlineLevel="1" x14ac:dyDescent="0.3">
      <c r="C2152" s="41" t="s">
        <v>785</v>
      </c>
      <c r="D2152" s="35" t="s">
        <v>68</v>
      </c>
    </row>
    <row r="2153" spans="2:4" hidden="1" outlineLevel="1" x14ac:dyDescent="0.3">
      <c r="C2153" s="41" t="s">
        <v>786</v>
      </c>
      <c r="D2153" s="35" t="s">
        <v>747</v>
      </c>
    </row>
    <row r="2154" spans="2:4" hidden="1" outlineLevel="1" x14ac:dyDescent="0.3">
      <c r="C2154" s="41" t="s">
        <v>783</v>
      </c>
      <c r="D2154" s="35" t="s">
        <v>11</v>
      </c>
    </row>
    <row r="2155" spans="2:4" hidden="1" outlineLevel="1" x14ac:dyDescent="0.3">
      <c r="C2155" s="41" t="s">
        <v>784</v>
      </c>
      <c r="D2155" s="35" t="s">
        <v>125</v>
      </c>
    </row>
    <row r="2156" spans="2:4" hidden="1" outlineLevel="1" x14ac:dyDescent="0.3">
      <c r="C2156" s="41" t="s">
        <v>787</v>
      </c>
      <c r="D2156" s="35" t="s">
        <v>748</v>
      </c>
    </row>
    <row r="2157" spans="2:4" hidden="1" outlineLevel="1" x14ac:dyDescent="0.3">
      <c r="C2157" s="37" t="s">
        <v>788</v>
      </c>
      <c r="D2157" s="35" t="s">
        <v>517</v>
      </c>
    </row>
    <row r="2158" spans="2:4" hidden="1" outlineLevel="1" x14ac:dyDescent="0.3">
      <c r="C2158" s="37" t="s">
        <v>789</v>
      </c>
      <c r="D2158" s="35" t="s">
        <v>386</v>
      </c>
    </row>
    <row r="2159" spans="2:4" hidden="1" outlineLevel="1" x14ac:dyDescent="0.3">
      <c r="C2159" s="37" t="s">
        <v>790</v>
      </c>
      <c r="D2159" s="35" t="s">
        <v>299</v>
      </c>
    </row>
    <row r="2160" spans="2:4" hidden="1" outlineLevel="1" x14ac:dyDescent="0.3">
      <c r="C2160" s="37" t="s">
        <v>791</v>
      </c>
      <c r="D2160" s="35" t="s">
        <v>749</v>
      </c>
    </row>
    <row r="2161" spans="3:4" hidden="1" outlineLevel="1" x14ac:dyDescent="0.3">
      <c r="C2161" s="37" t="s">
        <v>792</v>
      </c>
      <c r="D2161" s="35" t="s">
        <v>750</v>
      </c>
    </row>
    <row r="2162" spans="3:4" hidden="1" outlineLevel="1" x14ac:dyDescent="0.3">
      <c r="C2162" s="37" t="s">
        <v>793</v>
      </c>
      <c r="D2162" s="35" t="s">
        <v>751</v>
      </c>
    </row>
    <row r="2163" spans="3:4" hidden="1" outlineLevel="1" x14ac:dyDescent="0.3">
      <c r="C2163" s="37" t="s">
        <v>794</v>
      </c>
      <c r="D2163" s="35" t="s">
        <v>752</v>
      </c>
    </row>
    <row r="2164" spans="3:4" hidden="1" outlineLevel="1" x14ac:dyDescent="0.3">
      <c r="C2164" s="37" t="s">
        <v>795</v>
      </c>
      <c r="D2164" s="35" t="s">
        <v>753</v>
      </c>
    </row>
    <row r="2165" spans="3:4" hidden="1" outlineLevel="1" x14ac:dyDescent="0.3">
      <c r="C2165" s="37" t="s">
        <v>796</v>
      </c>
      <c r="D2165" s="35" t="s">
        <v>754</v>
      </c>
    </row>
    <row r="2166" spans="3:4" hidden="1" outlineLevel="1" x14ac:dyDescent="0.3">
      <c r="C2166" s="37" t="s">
        <v>797</v>
      </c>
      <c r="D2166" s="35" t="s">
        <v>755</v>
      </c>
    </row>
    <row r="2167" spans="3:4" hidden="1" outlineLevel="1" x14ac:dyDescent="0.3">
      <c r="C2167" s="37" t="s">
        <v>798</v>
      </c>
      <c r="D2167" s="35" t="s">
        <v>756</v>
      </c>
    </row>
    <row r="2168" spans="3:4" hidden="1" outlineLevel="1" x14ac:dyDescent="0.3">
      <c r="C2168" s="37" t="s">
        <v>799</v>
      </c>
      <c r="D2168" s="35" t="s">
        <v>757</v>
      </c>
    </row>
    <row r="2169" spans="3:4" hidden="1" outlineLevel="1" x14ac:dyDescent="0.3">
      <c r="C2169" s="37" t="s">
        <v>800</v>
      </c>
      <c r="D2169" s="35" t="s">
        <v>758</v>
      </c>
    </row>
    <row r="2170" spans="3:4" hidden="1" outlineLevel="1" x14ac:dyDescent="0.3">
      <c r="C2170" s="37" t="s">
        <v>801</v>
      </c>
      <c r="D2170" s="35" t="s">
        <v>759</v>
      </c>
    </row>
    <row r="2171" spans="3:4" hidden="1" outlineLevel="1" x14ac:dyDescent="0.3">
      <c r="C2171" s="37" t="s">
        <v>802</v>
      </c>
      <c r="D2171" s="35" t="s">
        <v>760</v>
      </c>
    </row>
    <row r="2172" spans="3:4" hidden="1" outlineLevel="1" x14ac:dyDescent="0.3">
      <c r="C2172" s="37" t="s">
        <v>803</v>
      </c>
      <c r="D2172" s="35" t="s">
        <v>761</v>
      </c>
    </row>
    <row r="2173" spans="3:4" hidden="1" outlineLevel="1" x14ac:dyDescent="0.3">
      <c r="C2173" s="37" t="s">
        <v>804</v>
      </c>
      <c r="D2173" s="35" t="s">
        <v>762</v>
      </c>
    </row>
    <row r="2174" spans="3:4" hidden="1" outlineLevel="1" x14ac:dyDescent="0.3">
      <c r="C2174" s="37" t="s">
        <v>805</v>
      </c>
      <c r="D2174" s="35" t="s">
        <v>763</v>
      </c>
    </row>
    <row r="2175" spans="3:4" hidden="1" outlineLevel="1" x14ac:dyDescent="0.3">
      <c r="C2175" s="37" t="s">
        <v>806</v>
      </c>
      <c r="D2175" s="35" t="s">
        <v>764</v>
      </c>
    </row>
    <row r="2176" spans="3:4" hidden="1" outlineLevel="1" x14ac:dyDescent="0.3">
      <c r="C2176" s="37" t="s">
        <v>807</v>
      </c>
      <c r="D2176" s="35" t="s">
        <v>765</v>
      </c>
    </row>
    <row r="2177" spans="2:4" hidden="1" outlineLevel="1" x14ac:dyDescent="0.3">
      <c r="C2177" s="37" t="s">
        <v>808</v>
      </c>
      <c r="D2177" s="35" t="s">
        <v>766</v>
      </c>
    </row>
    <row r="2178" spans="2:4" hidden="1" outlineLevel="1" x14ac:dyDescent="0.3">
      <c r="C2178" s="37" t="s">
        <v>809</v>
      </c>
      <c r="D2178" s="35" t="s">
        <v>767</v>
      </c>
    </row>
    <row r="2179" spans="2:4" hidden="1" outlineLevel="1" x14ac:dyDescent="0.3">
      <c r="C2179" s="37" t="s">
        <v>810</v>
      </c>
      <c r="D2179" s="35" t="s">
        <v>768</v>
      </c>
    </row>
    <row r="2180" spans="2:4" hidden="1" outlineLevel="1" x14ac:dyDescent="0.3">
      <c r="C2180" s="37" t="s">
        <v>811</v>
      </c>
      <c r="D2180" s="35" t="s">
        <v>769</v>
      </c>
    </row>
    <row r="2181" spans="2:4" hidden="1" outlineLevel="1" x14ac:dyDescent="0.3">
      <c r="C2181" s="37" t="s">
        <v>812</v>
      </c>
      <c r="D2181" s="35" t="s">
        <v>770</v>
      </c>
    </row>
    <row r="2182" spans="2:4" hidden="1" outlineLevel="1" x14ac:dyDescent="0.3">
      <c r="C2182" s="37" t="s">
        <v>813</v>
      </c>
      <c r="D2182" s="35" t="s">
        <v>771</v>
      </c>
    </row>
    <row r="2183" spans="2:4" hidden="1" outlineLevel="1" x14ac:dyDescent="0.3">
      <c r="C2183" s="37" t="s">
        <v>814</v>
      </c>
      <c r="D2183" s="35" t="s">
        <v>772</v>
      </c>
    </row>
    <row r="2184" spans="2:4" hidden="1" outlineLevel="1" x14ac:dyDescent="0.3">
      <c r="C2184" s="37" t="s">
        <v>815</v>
      </c>
      <c r="D2184" s="35" t="s">
        <v>773</v>
      </c>
    </row>
    <row r="2185" spans="2:4" hidden="1" outlineLevel="1" x14ac:dyDescent="0.3">
      <c r="C2185" s="37" t="s">
        <v>816</v>
      </c>
      <c r="D2185" s="35" t="s">
        <v>774</v>
      </c>
    </row>
    <row r="2186" spans="2:4" hidden="1" outlineLevel="1" x14ac:dyDescent="0.3">
      <c r="C2186" s="37" t="s">
        <v>817</v>
      </c>
      <c r="D2186" s="35" t="s">
        <v>775</v>
      </c>
    </row>
    <row r="2187" spans="2:4" hidden="1" outlineLevel="1" x14ac:dyDescent="0.3">
      <c r="C2187" s="37" t="s">
        <v>818</v>
      </c>
      <c r="D2187" s="35" t="s">
        <v>776</v>
      </c>
    </row>
    <row r="2188" spans="2:4" hidden="1" outlineLevel="1" x14ac:dyDescent="0.3">
      <c r="C2188" s="37" t="s">
        <v>819</v>
      </c>
      <c r="D2188" s="35" t="s">
        <v>777</v>
      </c>
    </row>
    <row r="2189" spans="2:4" collapsed="1" x14ac:dyDescent="0.3">
      <c r="B2189" s="43" t="s">
        <v>416</v>
      </c>
      <c r="C2189" t="s">
        <v>313</v>
      </c>
    </row>
    <row r="2190" spans="2:4" hidden="1" outlineLevel="1" x14ac:dyDescent="0.3">
      <c r="C2190" s="40" t="s">
        <v>779</v>
      </c>
      <c r="D2190" s="35" t="s">
        <v>745</v>
      </c>
    </row>
    <row r="2191" spans="2:4" hidden="1" outlineLevel="1" x14ac:dyDescent="0.3">
      <c r="C2191" s="41" t="s">
        <v>780</v>
      </c>
      <c r="D2191" s="42" t="s">
        <v>820</v>
      </c>
    </row>
    <row r="2192" spans="2:4" hidden="1" outlineLevel="1" x14ac:dyDescent="0.3">
      <c r="C2192" s="40" t="s">
        <v>781</v>
      </c>
      <c r="D2192" s="35" t="s">
        <v>746</v>
      </c>
    </row>
    <row r="2193" spans="3:4" hidden="1" outlineLevel="1" x14ac:dyDescent="0.3">
      <c r="C2193" s="41" t="s">
        <v>782</v>
      </c>
      <c r="D2193" s="35" t="s">
        <v>367</v>
      </c>
    </row>
    <row r="2194" spans="3:4" hidden="1" outlineLevel="1" x14ac:dyDescent="0.3">
      <c r="C2194" s="41" t="s">
        <v>785</v>
      </c>
      <c r="D2194" s="35" t="s">
        <v>68</v>
      </c>
    </row>
    <row r="2195" spans="3:4" hidden="1" outlineLevel="1" x14ac:dyDescent="0.3">
      <c r="C2195" s="41" t="s">
        <v>786</v>
      </c>
      <c r="D2195" s="35" t="s">
        <v>747</v>
      </c>
    </row>
    <row r="2196" spans="3:4" hidden="1" outlineLevel="1" x14ac:dyDescent="0.3">
      <c r="C2196" s="41" t="s">
        <v>783</v>
      </c>
      <c r="D2196" s="35" t="s">
        <v>11</v>
      </c>
    </row>
    <row r="2197" spans="3:4" hidden="1" outlineLevel="1" x14ac:dyDescent="0.3">
      <c r="C2197" s="41" t="s">
        <v>784</v>
      </c>
      <c r="D2197" s="35" t="s">
        <v>125</v>
      </c>
    </row>
    <row r="2198" spans="3:4" hidden="1" outlineLevel="1" x14ac:dyDescent="0.3">
      <c r="C2198" s="41" t="s">
        <v>787</v>
      </c>
      <c r="D2198" s="35" t="s">
        <v>748</v>
      </c>
    </row>
    <row r="2199" spans="3:4" hidden="1" outlineLevel="1" x14ac:dyDescent="0.3">
      <c r="C2199" s="37" t="s">
        <v>788</v>
      </c>
      <c r="D2199" s="35" t="s">
        <v>517</v>
      </c>
    </row>
    <row r="2200" spans="3:4" hidden="1" outlineLevel="1" x14ac:dyDescent="0.3">
      <c r="C2200" s="37" t="s">
        <v>789</v>
      </c>
      <c r="D2200" s="35" t="s">
        <v>386</v>
      </c>
    </row>
    <row r="2201" spans="3:4" hidden="1" outlineLevel="1" x14ac:dyDescent="0.3">
      <c r="C2201" s="37" t="s">
        <v>790</v>
      </c>
      <c r="D2201" s="35" t="s">
        <v>299</v>
      </c>
    </row>
    <row r="2202" spans="3:4" hidden="1" outlineLevel="1" x14ac:dyDescent="0.3">
      <c r="C2202" s="37" t="s">
        <v>791</v>
      </c>
      <c r="D2202" s="35" t="s">
        <v>749</v>
      </c>
    </row>
    <row r="2203" spans="3:4" hidden="1" outlineLevel="1" x14ac:dyDescent="0.3">
      <c r="C2203" s="37" t="s">
        <v>792</v>
      </c>
      <c r="D2203" s="35" t="s">
        <v>750</v>
      </c>
    </row>
    <row r="2204" spans="3:4" hidden="1" outlineLevel="1" x14ac:dyDescent="0.3">
      <c r="C2204" s="37" t="s">
        <v>793</v>
      </c>
      <c r="D2204" s="35" t="s">
        <v>751</v>
      </c>
    </row>
    <row r="2205" spans="3:4" hidden="1" outlineLevel="1" x14ac:dyDescent="0.3">
      <c r="C2205" s="37" t="s">
        <v>794</v>
      </c>
      <c r="D2205" s="35" t="s">
        <v>752</v>
      </c>
    </row>
    <row r="2206" spans="3:4" hidden="1" outlineLevel="1" x14ac:dyDescent="0.3">
      <c r="C2206" s="37" t="s">
        <v>795</v>
      </c>
      <c r="D2206" s="35" t="s">
        <v>753</v>
      </c>
    </row>
    <row r="2207" spans="3:4" hidden="1" outlineLevel="1" x14ac:dyDescent="0.3">
      <c r="C2207" s="37" t="s">
        <v>796</v>
      </c>
      <c r="D2207" s="35" t="s">
        <v>754</v>
      </c>
    </row>
    <row r="2208" spans="3:4" hidden="1" outlineLevel="1" x14ac:dyDescent="0.3">
      <c r="C2208" s="37" t="s">
        <v>797</v>
      </c>
      <c r="D2208" s="35" t="s">
        <v>755</v>
      </c>
    </row>
    <row r="2209" spans="3:4" hidden="1" outlineLevel="1" x14ac:dyDescent="0.3">
      <c r="C2209" s="37" t="s">
        <v>798</v>
      </c>
      <c r="D2209" s="35" t="s">
        <v>756</v>
      </c>
    </row>
    <row r="2210" spans="3:4" hidden="1" outlineLevel="1" x14ac:dyDescent="0.3">
      <c r="C2210" s="37" t="s">
        <v>799</v>
      </c>
      <c r="D2210" s="35" t="s">
        <v>757</v>
      </c>
    </row>
    <row r="2211" spans="3:4" hidden="1" outlineLevel="1" x14ac:dyDescent="0.3">
      <c r="C2211" s="37" t="s">
        <v>800</v>
      </c>
      <c r="D2211" s="35" t="s">
        <v>758</v>
      </c>
    </row>
    <row r="2212" spans="3:4" hidden="1" outlineLevel="1" x14ac:dyDescent="0.3">
      <c r="C2212" s="37" t="s">
        <v>801</v>
      </c>
      <c r="D2212" s="35" t="s">
        <v>759</v>
      </c>
    </row>
    <row r="2213" spans="3:4" hidden="1" outlineLevel="1" x14ac:dyDescent="0.3">
      <c r="C2213" s="37" t="s">
        <v>802</v>
      </c>
      <c r="D2213" s="35" t="s">
        <v>760</v>
      </c>
    </row>
    <row r="2214" spans="3:4" hidden="1" outlineLevel="1" x14ac:dyDescent="0.3">
      <c r="C2214" s="37" t="s">
        <v>803</v>
      </c>
      <c r="D2214" s="35" t="s">
        <v>761</v>
      </c>
    </row>
    <row r="2215" spans="3:4" hidden="1" outlineLevel="1" x14ac:dyDescent="0.3">
      <c r="C2215" s="37" t="s">
        <v>804</v>
      </c>
      <c r="D2215" s="35" t="s">
        <v>762</v>
      </c>
    </row>
    <row r="2216" spans="3:4" hidden="1" outlineLevel="1" x14ac:dyDescent="0.3">
      <c r="C2216" s="37" t="s">
        <v>805</v>
      </c>
      <c r="D2216" s="35" t="s">
        <v>763</v>
      </c>
    </row>
    <row r="2217" spans="3:4" hidden="1" outlineLevel="1" x14ac:dyDescent="0.3">
      <c r="C2217" s="37" t="s">
        <v>806</v>
      </c>
      <c r="D2217" s="35" t="s">
        <v>764</v>
      </c>
    </row>
    <row r="2218" spans="3:4" hidden="1" outlineLevel="1" x14ac:dyDescent="0.3">
      <c r="C2218" s="37" t="s">
        <v>807</v>
      </c>
      <c r="D2218" s="35" t="s">
        <v>765</v>
      </c>
    </row>
    <row r="2219" spans="3:4" hidden="1" outlineLevel="1" x14ac:dyDescent="0.3">
      <c r="C2219" s="37" t="s">
        <v>808</v>
      </c>
      <c r="D2219" s="35" t="s">
        <v>766</v>
      </c>
    </row>
    <row r="2220" spans="3:4" hidden="1" outlineLevel="1" x14ac:dyDescent="0.3">
      <c r="C2220" s="37" t="s">
        <v>809</v>
      </c>
      <c r="D2220" s="35" t="s">
        <v>767</v>
      </c>
    </row>
    <row r="2221" spans="3:4" hidden="1" outlineLevel="1" x14ac:dyDescent="0.3">
      <c r="C2221" s="37" t="s">
        <v>810</v>
      </c>
      <c r="D2221" s="35" t="s">
        <v>768</v>
      </c>
    </row>
    <row r="2222" spans="3:4" hidden="1" outlineLevel="1" x14ac:dyDescent="0.3">
      <c r="C2222" s="37" t="s">
        <v>811</v>
      </c>
      <c r="D2222" s="35" t="s">
        <v>769</v>
      </c>
    </row>
    <row r="2223" spans="3:4" hidden="1" outlineLevel="1" x14ac:dyDescent="0.3">
      <c r="C2223" s="37" t="s">
        <v>812</v>
      </c>
      <c r="D2223" s="35" t="s">
        <v>770</v>
      </c>
    </row>
    <row r="2224" spans="3:4" hidden="1" outlineLevel="1" x14ac:dyDescent="0.3">
      <c r="C2224" s="37" t="s">
        <v>813</v>
      </c>
      <c r="D2224" s="35" t="s">
        <v>771</v>
      </c>
    </row>
    <row r="2225" spans="2:4" hidden="1" outlineLevel="1" x14ac:dyDescent="0.3">
      <c r="C2225" s="37" t="s">
        <v>814</v>
      </c>
      <c r="D2225" s="35" t="s">
        <v>772</v>
      </c>
    </row>
    <row r="2226" spans="2:4" hidden="1" outlineLevel="1" x14ac:dyDescent="0.3">
      <c r="C2226" s="37" t="s">
        <v>815</v>
      </c>
      <c r="D2226" s="35" t="s">
        <v>773</v>
      </c>
    </row>
    <row r="2227" spans="2:4" hidden="1" outlineLevel="1" x14ac:dyDescent="0.3">
      <c r="C2227" s="37" t="s">
        <v>816</v>
      </c>
      <c r="D2227" s="35" t="s">
        <v>774</v>
      </c>
    </row>
    <row r="2228" spans="2:4" hidden="1" outlineLevel="1" x14ac:dyDescent="0.3">
      <c r="C2228" s="37" t="s">
        <v>817</v>
      </c>
      <c r="D2228" s="35" t="s">
        <v>775</v>
      </c>
    </row>
    <row r="2229" spans="2:4" hidden="1" outlineLevel="1" x14ac:dyDescent="0.3">
      <c r="C2229" s="37" t="s">
        <v>818</v>
      </c>
      <c r="D2229" s="35" t="s">
        <v>776</v>
      </c>
    </row>
    <row r="2230" spans="2:4" hidden="1" outlineLevel="1" x14ac:dyDescent="0.3">
      <c r="C2230" s="37" t="s">
        <v>819</v>
      </c>
      <c r="D2230" s="35" t="s">
        <v>777</v>
      </c>
    </row>
    <row r="2231" spans="2:4" collapsed="1" x14ac:dyDescent="0.3">
      <c r="B2231" s="43" t="s">
        <v>448</v>
      </c>
      <c r="C2231" t="s">
        <v>313</v>
      </c>
    </row>
    <row r="2232" spans="2:4" hidden="1" outlineLevel="1" x14ac:dyDescent="0.3">
      <c r="C2232" s="40" t="s">
        <v>779</v>
      </c>
      <c r="D2232" s="35" t="s">
        <v>745</v>
      </c>
    </row>
    <row r="2233" spans="2:4" hidden="1" outlineLevel="1" x14ac:dyDescent="0.3">
      <c r="C2233" s="41" t="s">
        <v>780</v>
      </c>
      <c r="D2233" s="42" t="s">
        <v>820</v>
      </c>
    </row>
    <row r="2234" spans="2:4" hidden="1" outlineLevel="1" x14ac:dyDescent="0.3">
      <c r="C2234" s="40" t="s">
        <v>781</v>
      </c>
      <c r="D2234" s="35" t="s">
        <v>746</v>
      </c>
    </row>
    <row r="2235" spans="2:4" hidden="1" outlineLevel="1" x14ac:dyDescent="0.3">
      <c r="C2235" s="41" t="s">
        <v>782</v>
      </c>
      <c r="D2235" s="35" t="s">
        <v>367</v>
      </c>
    </row>
    <row r="2236" spans="2:4" hidden="1" outlineLevel="1" x14ac:dyDescent="0.3">
      <c r="C2236" s="41" t="s">
        <v>785</v>
      </c>
      <c r="D2236" s="35" t="s">
        <v>68</v>
      </c>
    </row>
    <row r="2237" spans="2:4" hidden="1" outlineLevel="1" x14ac:dyDescent="0.3">
      <c r="C2237" s="41" t="s">
        <v>786</v>
      </c>
      <c r="D2237" s="35" t="s">
        <v>747</v>
      </c>
    </row>
    <row r="2238" spans="2:4" hidden="1" outlineLevel="1" x14ac:dyDescent="0.3">
      <c r="C2238" s="41" t="s">
        <v>783</v>
      </c>
      <c r="D2238" s="35" t="s">
        <v>11</v>
      </c>
    </row>
    <row r="2239" spans="2:4" hidden="1" outlineLevel="1" x14ac:dyDescent="0.3">
      <c r="C2239" s="41" t="s">
        <v>784</v>
      </c>
      <c r="D2239" s="35" t="s">
        <v>125</v>
      </c>
    </row>
    <row r="2240" spans="2:4" hidden="1" outlineLevel="1" x14ac:dyDescent="0.3">
      <c r="C2240" s="41" t="s">
        <v>787</v>
      </c>
      <c r="D2240" s="35" t="s">
        <v>748</v>
      </c>
    </row>
    <row r="2241" spans="3:4" hidden="1" outlineLevel="1" x14ac:dyDescent="0.3">
      <c r="C2241" s="37" t="s">
        <v>788</v>
      </c>
      <c r="D2241" s="35" t="s">
        <v>517</v>
      </c>
    </row>
    <row r="2242" spans="3:4" hidden="1" outlineLevel="1" x14ac:dyDescent="0.3">
      <c r="C2242" s="37" t="s">
        <v>789</v>
      </c>
      <c r="D2242" s="35" t="s">
        <v>386</v>
      </c>
    </row>
    <row r="2243" spans="3:4" hidden="1" outlineLevel="1" x14ac:dyDescent="0.3">
      <c r="C2243" s="37" t="s">
        <v>790</v>
      </c>
      <c r="D2243" s="35" t="s">
        <v>299</v>
      </c>
    </row>
    <row r="2244" spans="3:4" hidden="1" outlineLevel="1" x14ac:dyDescent="0.3">
      <c r="C2244" s="37" t="s">
        <v>791</v>
      </c>
      <c r="D2244" s="35" t="s">
        <v>749</v>
      </c>
    </row>
    <row r="2245" spans="3:4" hidden="1" outlineLevel="1" x14ac:dyDescent="0.3">
      <c r="C2245" s="37" t="s">
        <v>792</v>
      </c>
      <c r="D2245" s="35" t="s">
        <v>750</v>
      </c>
    </row>
    <row r="2246" spans="3:4" hidden="1" outlineLevel="1" x14ac:dyDescent="0.3">
      <c r="C2246" s="37" t="s">
        <v>793</v>
      </c>
      <c r="D2246" s="35" t="s">
        <v>751</v>
      </c>
    </row>
    <row r="2247" spans="3:4" hidden="1" outlineLevel="1" x14ac:dyDescent="0.3">
      <c r="C2247" s="37" t="s">
        <v>794</v>
      </c>
      <c r="D2247" s="35" t="s">
        <v>752</v>
      </c>
    </row>
    <row r="2248" spans="3:4" hidden="1" outlineLevel="1" x14ac:dyDescent="0.3">
      <c r="C2248" s="37" t="s">
        <v>795</v>
      </c>
      <c r="D2248" s="35" t="s">
        <v>753</v>
      </c>
    </row>
    <row r="2249" spans="3:4" hidden="1" outlineLevel="1" x14ac:dyDescent="0.3">
      <c r="C2249" s="37" t="s">
        <v>796</v>
      </c>
      <c r="D2249" s="35" t="s">
        <v>754</v>
      </c>
    </row>
    <row r="2250" spans="3:4" hidden="1" outlineLevel="1" x14ac:dyDescent="0.3">
      <c r="C2250" s="37" t="s">
        <v>797</v>
      </c>
      <c r="D2250" s="35" t="s">
        <v>755</v>
      </c>
    </row>
    <row r="2251" spans="3:4" hidden="1" outlineLevel="1" x14ac:dyDescent="0.3">
      <c r="C2251" s="37" t="s">
        <v>798</v>
      </c>
      <c r="D2251" s="35" t="s">
        <v>756</v>
      </c>
    </row>
    <row r="2252" spans="3:4" hidden="1" outlineLevel="1" x14ac:dyDescent="0.3">
      <c r="C2252" s="37" t="s">
        <v>799</v>
      </c>
      <c r="D2252" s="35" t="s">
        <v>757</v>
      </c>
    </row>
    <row r="2253" spans="3:4" hidden="1" outlineLevel="1" x14ac:dyDescent="0.3">
      <c r="C2253" s="37" t="s">
        <v>800</v>
      </c>
      <c r="D2253" s="35" t="s">
        <v>758</v>
      </c>
    </row>
    <row r="2254" spans="3:4" hidden="1" outlineLevel="1" x14ac:dyDescent="0.3">
      <c r="C2254" s="37" t="s">
        <v>801</v>
      </c>
      <c r="D2254" s="35" t="s">
        <v>759</v>
      </c>
    </row>
    <row r="2255" spans="3:4" hidden="1" outlineLevel="1" x14ac:dyDescent="0.3">
      <c r="C2255" s="37" t="s">
        <v>802</v>
      </c>
      <c r="D2255" s="35" t="s">
        <v>760</v>
      </c>
    </row>
    <row r="2256" spans="3:4" hidden="1" outlineLevel="1" x14ac:dyDescent="0.3">
      <c r="C2256" s="37" t="s">
        <v>803</v>
      </c>
      <c r="D2256" s="35" t="s">
        <v>761</v>
      </c>
    </row>
    <row r="2257" spans="3:4" hidden="1" outlineLevel="1" x14ac:dyDescent="0.3">
      <c r="C2257" s="37" t="s">
        <v>804</v>
      </c>
      <c r="D2257" s="35" t="s">
        <v>762</v>
      </c>
    </row>
    <row r="2258" spans="3:4" hidden="1" outlineLevel="1" x14ac:dyDescent="0.3">
      <c r="C2258" s="37" t="s">
        <v>805</v>
      </c>
      <c r="D2258" s="35" t="s">
        <v>763</v>
      </c>
    </row>
    <row r="2259" spans="3:4" hidden="1" outlineLevel="1" x14ac:dyDescent="0.3">
      <c r="C2259" s="37" t="s">
        <v>806</v>
      </c>
      <c r="D2259" s="35" t="s">
        <v>764</v>
      </c>
    </row>
    <row r="2260" spans="3:4" hidden="1" outlineLevel="1" x14ac:dyDescent="0.3">
      <c r="C2260" s="37" t="s">
        <v>807</v>
      </c>
      <c r="D2260" s="35" t="s">
        <v>765</v>
      </c>
    </row>
    <row r="2261" spans="3:4" hidden="1" outlineLevel="1" x14ac:dyDescent="0.3">
      <c r="C2261" s="37" t="s">
        <v>808</v>
      </c>
      <c r="D2261" s="35" t="s">
        <v>766</v>
      </c>
    </row>
    <row r="2262" spans="3:4" hidden="1" outlineLevel="1" x14ac:dyDescent="0.3">
      <c r="C2262" s="37" t="s">
        <v>809</v>
      </c>
      <c r="D2262" s="35" t="s">
        <v>767</v>
      </c>
    </row>
    <row r="2263" spans="3:4" hidden="1" outlineLevel="1" x14ac:dyDescent="0.3">
      <c r="C2263" s="37" t="s">
        <v>810</v>
      </c>
      <c r="D2263" s="35" t="s">
        <v>768</v>
      </c>
    </row>
    <row r="2264" spans="3:4" hidden="1" outlineLevel="1" x14ac:dyDescent="0.3">
      <c r="C2264" s="37" t="s">
        <v>811</v>
      </c>
      <c r="D2264" s="35" t="s">
        <v>769</v>
      </c>
    </row>
    <row r="2265" spans="3:4" hidden="1" outlineLevel="1" x14ac:dyDescent="0.3">
      <c r="C2265" s="37" t="s">
        <v>812</v>
      </c>
      <c r="D2265" s="35" t="s">
        <v>770</v>
      </c>
    </row>
    <row r="2266" spans="3:4" hidden="1" outlineLevel="1" x14ac:dyDescent="0.3">
      <c r="C2266" s="37" t="s">
        <v>813</v>
      </c>
      <c r="D2266" s="35" t="s">
        <v>771</v>
      </c>
    </row>
    <row r="2267" spans="3:4" hidden="1" outlineLevel="1" x14ac:dyDescent="0.3">
      <c r="C2267" s="37" t="s">
        <v>814</v>
      </c>
      <c r="D2267" s="35" t="s">
        <v>772</v>
      </c>
    </row>
    <row r="2268" spans="3:4" hidden="1" outlineLevel="1" x14ac:dyDescent="0.3">
      <c r="C2268" s="37" t="s">
        <v>815</v>
      </c>
      <c r="D2268" s="35" t="s">
        <v>773</v>
      </c>
    </row>
    <row r="2269" spans="3:4" hidden="1" outlineLevel="1" x14ac:dyDescent="0.3">
      <c r="C2269" s="37" t="s">
        <v>816</v>
      </c>
      <c r="D2269" s="35" t="s">
        <v>774</v>
      </c>
    </row>
    <row r="2270" spans="3:4" hidden="1" outlineLevel="1" x14ac:dyDescent="0.3">
      <c r="C2270" s="37" t="s">
        <v>817</v>
      </c>
      <c r="D2270" s="35" t="s">
        <v>775</v>
      </c>
    </row>
    <row r="2271" spans="3:4" hidden="1" outlineLevel="1" x14ac:dyDescent="0.3">
      <c r="C2271" s="37" t="s">
        <v>818</v>
      </c>
      <c r="D2271" s="35" t="s">
        <v>776</v>
      </c>
    </row>
    <row r="2272" spans="3:4" hidden="1" outlineLevel="1" x14ac:dyDescent="0.3">
      <c r="C2272" s="37" t="s">
        <v>819</v>
      </c>
      <c r="D2272" s="35" t="s">
        <v>777</v>
      </c>
    </row>
    <row r="2273" spans="2:4" collapsed="1" x14ac:dyDescent="0.3">
      <c r="B2273" s="43" t="s">
        <v>233</v>
      </c>
      <c r="C2273" t="s">
        <v>18</v>
      </c>
    </row>
    <row r="2274" spans="2:4" hidden="1" outlineLevel="1" x14ac:dyDescent="0.3">
      <c r="C2274" s="40" t="s">
        <v>779</v>
      </c>
      <c r="D2274" s="35" t="s">
        <v>745</v>
      </c>
    </row>
    <row r="2275" spans="2:4" hidden="1" outlineLevel="1" x14ac:dyDescent="0.3">
      <c r="C2275" s="41" t="s">
        <v>780</v>
      </c>
      <c r="D2275" s="42" t="s">
        <v>820</v>
      </c>
    </row>
    <row r="2276" spans="2:4" hidden="1" outlineLevel="1" x14ac:dyDescent="0.3">
      <c r="C2276" s="40" t="s">
        <v>781</v>
      </c>
      <c r="D2276" s="35" t="s">
        <v>746</v>
      </c>
    </row>
    <row r="2277" spans="2:4" hidden="1" outlineLevel="1" x14ac:dyDescent="0.3">
      <c r="C2277" s="41" t="s">
        <v>782</v>
      </c>
      <c r="D2277" s="35" t="s">
        <v>367</v>
      </c>
    </row>
    <row r="2278" spans="2:4" hidden="1" outlineLevel="1" x14ac:dyDescent="0.3">
      <c r="C2278" s="41" t="s">
        <v>785</v>
      </c>
      <c r="D2278" s="35" t="s">
        <v>68</v>
      </c>
    </row>
    <row r="2279" spans="2:4" hidden="1" outlineLevel="1" x14ac:dyDescent="0.3">
      <c r="C2279" s="41" t="s">
        <v>786</v>
      </c>
      <c r="D2279" s="35" t="s">
        <v>747</v>
      </c>
    </row>
    <row r="2280" spans="2:4" hidden="1" outlineLevel="1" x14ac:dyDescent="0.3">
      <c r="C2280" s="41" t="s">
        <v>783</v>
      </c>
      <c r="D2280" s="35" t="s">
        <v>11</v>
      </c>
    </row>
    <row r="2281" spans="2:4" hidden="1" outlineLevel="1" x14ac:dyDescent="0.3">
      <c r="C2281" s="41" t="s">
        <v>784</v>
      </c>
      <c r="D2281" s="35" t="s">
        <v>125</v>
      </c>
    </row>
    <row r="2282" spans="2:4" hidden="1" outlineLevel="1" x14ac:dyDescent="0.3">
      <c r="C2282" s="41" t="s">
        <v>787</v>
      </c>
      <c r="D2282" s="35" t="s">
        <v>748</v>
      </c>
    </row>
    <row r="2283" spans="2:4" hidden="1" outlineLevel="1" x14ac:dyDescent="0.3">
      <c r="C2283" s="37" t="s">
        <v>788</v>
      </c>
      <c r="D2283" s="35" t="s">
        <v>517</v>
      </c>
    </row>
    <row r="2284" spans="2:4" hidden="1" outlineLevel="1" x14ac:dyDescent="0.3">
      <c r="C2284" s="37" t="s">
        <v>789</v>
      </c>
      <c r="D2284" s="35" t="s">
        <v>386</v>
      </c>
    </row>
    <row r="2285" spans="2:4" hidden="1" outlineLevel="1" x14ac:dyDescent="0.3">
      <c r="C2285" s="37" t="s">
        <v>790</v>
      </c>
      <c r="D2285" s="35" t="s">
        <v>299</v>
      </c>
    </row>
    <row r="2286" spans="2:4" hidden="1" outlineLevel="1" x14ac:dyDescent="0.3">
      <c r="C2286" s="37" t="s">
        <v>791</v>
      </c>
      <c r="D2286" s="35" t="s">
        <v>749</v>
      </c>
    </row>
    <row r="2287" spans="2:4" hidden="1" outlineLevel="1" x14ac:dyDescent="0.3">
      <c r="C2287" s="37" t="s">
        <v>792</v>
      </c>
      <c r="D2287" s="35" t="s">
        <v>750</v>
      </c>
    </row>
    <row r="2288" spans="2:4" hidden="1" outlineLevel="1" x14ac:dyDescent="0.3">
      <c r="C2288" s="37" t="s">
        <v>793</v>
      </c>
      <c r="D2288" s="35" t="s">
        <v>751</v>
      </c>
    </row>
    <row r="2289" spans="3:4" hidden="1" outlineLevel="1" x14ac:dyDescent="0.3">
      <c r="C2289" s="37" t="s">
        <v>794</v>
      </c>
      <c r="D2289" s="35" t="s">
        <v>752</v>
      </c>
    </row>
    <row r="2290" spans="3:4" hidden="1" outlineLevel="1" x14ac:dyDescent="0.3">
      <c r="C2290" s="37" t="s">
        <v>795</v>
      </c>
      <c r="D2290" s="35" t="s">
        <v>753</v>
      </c>
    </row>
    <row r="2291" spans="3:4" hidden="1" outlineLevel="1" x14ac:dyDescent="0.3">
      <c r="C2291" s="37" t="s">
        <v>796</v>
      </c>
      <c r="D2291" s="35" t="s">
        <v>754</v>
      </c>
    </row>
    <row r="2292" spans="3:4" hidden="1" outlineLevel="1" x14ac:dyDescent="0.3">
      <c r="C2292" s="37" t="s">
        <v>797</v>
      </c>
      <c r="D2292" s="35" t="s">
        <v>755</v>
      </c>
    </row>
    <row r="2293" spans="3:4" hidden="1" outlineLevel="1" x14ac:dyDescent="0.3">
      <c r="C2293" s="37" t="s">
        <v>798</v>
      </c>
      <c r="D2293" s="35" t="s">
        <v>756</v>
      </c>
    </row>
    <row r="2294" spans="3:4" hidden="1" outlineLevel="1" x14ac:dyDescent="0.3">
      <c r="C2294" s="37" t="s">
        <v>799</v>
      </c>
      <c r="D2294" s="35" t="s">
        <v>757</v>
      </c>
    </row>
    <row r="2295" spans="3:4" hidden="1" outlineLevel="1" x14ac:dyDescent="0.3">
      <c r="C2295" s="37" t="s">
        <v>800</v>
      </c>
      <c r="D2295" s="35" t="s">
        <v>758</v>
      </c>
    </row>
    <row r="2296" spans="3:4" hidden="1" outlineLevel="1" x14ac:dyDescent="0.3">
      <c r="C2296" s="37" t="s">
        <v>801</v>
      </c>
      <c r="D2296" s="35" t="s">
        <v>759</v>
      </c>
    </row>
    <row r="2297" spans="3:4" hidden="1" outlineLevel="1" x14ac:dyDescent="0.3">
      <c r="C2297" s="37" t="s">
        <v>802</v>
      </c>
      <c r="D2297" s="35" t="s">
        <v>760</v>
      </c>
    </row>
    <row r="2298" spans="3:4" hidden="1" outlineLevel="1" x14ac:dyDescent="0.3">
      <c r="C2298" s="37" t="s">
        <v>803</v>
      </c>
      <c r="D2298" s="35" t="s">
        <v>761</v>
      </c>
    </row>
    <row r="2299" spans="3:4" hidden="1" outlineLevel="1" x14ac:dyDescent="0.3">
      <c r="C2299" s="37" t="s">
        <v>804</v>
      </c>
      <c r="D2299" s="35" t="s">
        <v>762</v>
      </c>
    </row>
    <row r="2300" spans="3:4" hidden="1" outlineLevel="1" x14ac:dyDescent="0.3">
      <c r="C2300" s="37" t="s">
        <v>805</v>
      </c>
      <c r="D2300" s="35" t="s">
        <v>763</v>
      </c>
    </row>
    <row r="2301" spans="3:4" hidden="1" outlineLevel="1" x14ac:dyDescent="0.3">
      <c r="C2301" s="37" t="s">
        <v>806</v>
      </c>
      <c r="D2301" s="35" t="s">
        <v>764</v>
      </c>
    </row>
    <row r="2302" spans="3:4" hidden="1" outlineLevel="1" x14ac:dyDescent="0.3">
      <c r="C2302" s="37" t="s">
        <v>807</v>
      </c>
      <c r="D2302" s="35" t="s">
        <v>765</v>
      </c>
    </row>
    <row r="2303" spans="3:4" hidden="1" outlineLevel="1" x14ac:dyDescent="0.3">
      <c r="C2303" s="37" t="s">
        <v>808</v>
      </c>
      <c r="D2303" s="35" t="s">
        <v>766</v>
      </c>
    </row>
    <row r="2304" spans="3:4" hidden="1" outlineLevel="1" x14ac:dyDescent="0.3">
      <c r="C2304" s="37" t="s">
        <v>809</v>
      </c>
      <c r="D2304" s="35" t="s">
        <v>767</v>
      </c>
    </row>
    <row r="2305" spans="2:4" hidden="1" outlineLevel="1" x14ac:dyDescent="0.3">
      <c r="C2305" s="37" t="s">
        <v>810</v>
      </c>
      <c r="D2305" s="35" t="s">
        <v>768</v>
      </c>
    </row>
    <row r="2306" spans="2:4" hidden="1" outlineLevel="1" x14ac:dyDescent="0.3">
      <c r="C2306" s="37" t="s">
        <v>811</v>
      </c>
      <c r="D2306" s="35" t="s">
        <v>769</v>
      </c>
    </row>
    <row r="2307" spans="2:4" hidden="1" outlineLevel="1" x14ac:dyDescent="0.3">
      <c r="C2307" s="37" t="s">
        <v>812</v>
      </c>
      <c r="D2307" s="35" t="s">
        <v>770</v>
      </c>
    </row>
    <row r="2308" spans="2:4" hidden="1" outlineLevel="1" x14ac:dyDescent="0.3">
      <c r="C2308" s="37" t="s">
        <v>813</v>
      </c>
      <c r="D2308" s="35" t="s">
        <v>771</v>
      </c>
    </row>
    <row r="2309" spans="2:4" hidden="1" outlineLevel="1" x14ac:dyDescent="0.3">
      <c r="C2309" s="37" t="s">
        <v>814</v>
      </c>
      <c r="D2309" s="35" t="s">
        <v>772</v>
      </c>
    </row>
    <row r="2310" spans="2:4" hidden="1" outlineLevel="1" x14ac:dyDescent="0.3">
      <c r="C2310" s="37" t="s">
        <v>815</v>
      </c>
      <c r="D2310" s="35" t="s">
        <v>773</v>
      </c>
    </row>
    <row r="2311" spans="2:4" hidden="1" outlineLevel="1" x14ac:dyDescent="0.3">
      <c r="C2311" s="37" t="s">
        <v>816</v>
      </c>
      <c r="D2311" s="35" t="s">
        <v>774</v>
      </c>
    </row>
    <row r="2312" spans="2:4" hidden="1" outlineLevel="1" x14ac:dyDescent="0.3">
      <c r="C2312" s="37" t="s">
        <v>817</v>
      </c>
      <c r="D2312" s="35" t="s">
        <v>775</v>
      </c>
    </row>
    <row r="2313" spans="2:4" hidden="1" outlineLevel="1" x14ac:dyDescent="0.3">
      <c r="C2313" s="37" t="s">
        <v>818</v>
      </c>
      <c r="D2313" s="35" t="s">
        <v>776</v>
      </c>
    </row>
    <row r="2314" spans="2:4" hidden="1" outlineLevel="1" x14ac:dyDescent="0.3">
      <c r="C2314" s="37" t="s">
        <v>819</v>
      </c>
      <c r="D2314" s="35" t="s">
        <v>777</v>
      </c>
    </row>
    <row r="2315" spans="2:4" collapsed="1" x14ac:dyDescent="0.3">
      <c r="B2315" s="43" t="s">
        <v>229</v>
      </c>
      <c r="C2315" t="s">
        <v>18</v>
      </c>
    </row>
    <row r="2316" spans="2:4" hidden="1" outlineLevel="1" x14ac:dyDescent="0.3">
      <c r="C2316" s="40" t="s">
        <v>779</v>
      </c>
      <c r="D2316" s="35" t="s">
        <v>745</v>
      </c>
    </row>
    <row r="2317" spans="2:4" hidden="1" outlineLevel="1" x14ac:dyDescent="0.3">
      <c r="C2317" s="41" t="s">
        <v>780</v>
      </c>
      <c r="D2317" s="42" t="s">
        <v>820</v>
      </c>
    </row>
    <row r="2318" spans="2:4" hidden="1" outlineLevel="1" x14ac:dyDescent="0.3">
      <c r="C2318" s="40" t="s">
        <v>781</v>
      </c>
      <c r="D2318" s="35" t="s">
        <v>746</v>
      </c>
    </row>
    <row r="2319" spans="2:4" hidden="1" outlineLevel="1" x14ac:dyDescent="0.3">
      <c r="C2319" s="41" t="s">
        <v>782</v>
      </c>
      <c r="D2319" s="35" t="s">
        <v>367</v>
      </c>
    </row>
    <row r="2320" spans="2:4" hidden="1" outlineLevel="1" x14ac:dyDescent="0.3">
      <c r="C2320" s="41" t="s">
        <v>785</v>
      </c>
      <c r="D2320" s="35" t="s">
        <v>68</v>
      </c>
    </row>
    <row r="2321" spans="3:4" hidden="1" outlineLevel="1" x14ac:dyDescent="0.3">
      <c r="C2321" s="41" t="s">
        <v>786</v>
      </c>
      <c r="D2321" s="35" t="s">
        <v>747</v>
      </c>
    </row>
    <row r="2322" spans="3:4" hidden="1" outlineLevel="1" x14ac:dyDescent="0.3">
      <c r="C2322" s="41" t="s">
        <v>783</v>
      </c>
      <c r="D2322" s="35" t="s">
        <v>11</v>
      </c>
    </row>
    <row r="2323" spans="3:4" hidden="1" outlineLevel="1" x14ac:dyDescent="0.3">
      <c r="C2323" s="41" t="s">
        <v>784</v>
      </c>
      <c r="D2323" s="35" t="s">
        <v>125</v>
      </c>
    </row>
    <row r="2324" spans="3:4" hidden="1" outlineLevel="1" x14ac:dyDescent="0.3">
      <c r="C2324" s="41" t="s">
        <v>787</v>
      </c>
      <c r="D2324" s="35" t="s">
        <v>748</v>
      </c>
    </row>
    <row r="2325" spans="3:4" hidden="1" outlineLevel="1" x14ac:dyDescent="0.3">
      <c r="C2325" s="37" t="s">
        <v>788</v>
      </c>
      <c r="D2325" s="35" t="s">
        <v>517</v>
      </c>
    </row>
    <row r="2326" spans="3:4" hidden="1" outlineLevel="1" x14ac:dyDescent="0.3">
      <c r="C2326" s="37" t="s">
        <v>789</v>
      </c>
      <c r="D2326" s="35" t="s">
        <v>386</v>
      </c>
    </row>
    <row r="2327" spans="3:4" hidden="1" outlineLevel="1" x14ac:dyDescent="0.3">
      <c r="C2327" s="37" t="s">
        <v>790</v>
      </c>
      <c r="D2327" s="35" t="s">
        <v>299</v>
      </c>
    </row>
    <row r="2328" spans="3:4" hidden="1" outlineLevel="1" x14ac:dyDescent="0.3">
      <c r="C2328" s="37" t="s">
        <v>791</v>
      </c>
      <c r="D2328" s="35" t="s">
        <v>749</v>
      </c>
    </row>
    <row r="2329" spans="3:4" hidden="1" outlineLevel="1" x14ac:dyDescent="0.3">
      <c r="C2329" s="37" t="s">
        <v>792</v>
      </c>
      <c r="D2329" s="35" t="s">
        <v>750</v>
      </c>
    </row>
    <row r="2330" spans="3:4" hidden="1" outlineLevel="1" x14ac:dyDescent="0.3">
      <c r="C2330" s="37" t="s">
        <v>793</v>
      </c>
      <c r="D2330" s="35" t="s">
        <v>751</v>
      </c>
    </row>
    <row r="2331" spans="3:4" hidden="1" outlineLevel="1" x14ac:dyDescent="0.3">
      <c r="C2331" s="37" t="s">
        <v>794</v>
      </c>
      <c r="D2331" s="35" t="s">
        <v>752</v>
      </c>
    </row>
    <row r="2332" spans="3:4" hidden="1" outlineLevel="1" x14ac:dyDescent="0.3">
      <c r="C2332" s="37" t="s">
        <v>795</v>
      </c>
      <c r="D2332" s="35" t="s">
        <v>753</v>
      </c>
    </row>
    <row r="2333" spans="3:4" hidden="1" outlineLevel="1" x14ac:dyDescent="0.3">
      <c r="C2333" s="37" t="s">
        <v>796</v>
      </c>
      <c r="D2333" s="35" t="s">
        <v>754</v>
      </c>
    </row>
    <row r="2334" spans="3:4" hidden="1" outlineLevel="1" x14ac:dyDescent="0.3">
      <c r="C2334" s="37" t="s">
        <v>797</v>
      </c>
      <c r="D2334" s="35" t="s">
        <v>755</v>
      </c>
    </row>
    <row r="2335" spans="3:4" hidden="1" outlineLevel="1" x14ac:dyDescent="0.3">
      <c r="C2335" s="37" t="s">
        <v>798</v>
      </c>
      <c r="D2335" s="35" t="s">
        <v>756</v>
      </c>
    </row>
    <row r="2336" spans="3:4" hidden="1" outlineLevel="1" x14ac:dyDescent="0.3">
      <c r="C2336" s="37" t="s">
        <v>799</v>
      </c>
      <c r="D2336" s="35" t="s">
        <v>757</v>
      </c>
    </row>
    <row r="2337" spans="3:4" hidden="1" outlineLevel="1" x14ac:dyDescent="0.3">
      <c r="C2337" s="37" t="s">
        <v>800</v>
      </c>
      <c r="D2337" s="35" t="s">
        <v>758</v>
      </c>
    </row>
    <row r="2338" spans="3:4" hidden="1" outlineLevel="1" x14ac:dyDescent="0.3">
      <c r="C2338" s="37" t="s">
        <v>801</v>
      </c>
      <c r="D2338" s="35" t="s">
        <v>759</v>
      </c>
    </row>
    <row r="2339" spans="3:4" hidden="1" outlineLevel="1" x14ac:dyDescent="0.3">
      <c r="C2339" s="37" t="s">
        <v>802</v>
      </c>
      <c r="D2339" s="35" t="s">
        <v>760</v>
      </c>
    </row>
    <row r="2340" spans="3:4" hidden="1" outlineLevel="1" x14ac:dyDescent="0.3">
      <c r="C2340" s="37" t="s">
        <v>803</v>
      </c>
      <c r="D2340" s="35" t="s">
        <v>761</v>
      </c>
    </row>
    <row r="2341" spans="3:4" hidden="1" outlineLevel="1" x14ac:dyDescent="0.3">
      <c r="C2341" s="37" t="s">
        <v>804</v>
      </c>
      <c r="D2341" s="35" t="s">
        <v>762</v>
      </c>
    </row>
    <row r="2342" spans="3:4" hidden="1" outlineLevel="1" x14ac:dyDescent="0.3">
      <c r="C2342" s="37" t="s">
        <v>805</v>
      </c>
      <c r="D2342" s="35" t="s">
        <v>763</v>
      </c>
    </row>
    <row r="2343" spans="3:4" hidden="1" outlineLevel="1" x14ac:dyDescent="0.3">
      <c r="C2343" s="37" t="s">
        <v>806</v>
      </c>
      <c r="D2343" s="35" t="s">
        <v>764</v>
      </c>
    </row>
    <row r="2344" spans="3:4" hidden="1" outlineLevel="1" x14ac:dyDescent="0.3">
      <c r="C2344" s="37" t="s">
        <v>807</v>
      </c>
      <c r="D2344" s="35" t="s">
        <v>765</v>
      </c>
    </row>
    <row r="2345" spans="3:4" hidden="1" outlineLevel="1" x14ac:dyDescent="0.3">
      <c r="C2345" s="37" t="s">
        <v>808</v>
      </c>
      <c r="D2345" s="35" t="s">
        <v>766</v>
      </c>
    </row>
    <row r="2346" spans="3:4" hidden="1" outlineLevel="1" x14ac:dyDescent="0.3">
      <c r="C2346" s="37" t="s">
        <v>809</v>
      </c>
      <c r="D2346" s="35" t="s">
        <v>767</v>
      </c>
    </row>
    <row r="2347" spans="3:4" hidden="1" outlineLevel="1" x14ac:dyDescent="0.3">
      <c r="C2347" s="37" t="s">
        <v>810</v>
      </c>
      <c r="D2347" s="35" t="s">
        <v>768</v>
      </c>
    </row>
    <row r="2348" spans="3:4" hidden="1" outlineLevel="1" x14ac:dyDescent="0.3">
      <c r="C2348" s="37" t="s">
        <v>811</v>
      </c>
      <c r="D2348" s="35" t="s">
        <v>769</v>
      </c>
    </row>
    <row r="2349" spans="3:4" hidden="1" outlineLevel="1" x14ac:dyDescent="0.3">
      <c r="C2349" s="37" t="s">
        <v>812</v>
      </c>
      <c r="D2349" s="35" t="s">
        <v>770</v>
      </c>
    </row>
    <row r="2350" spans="3:4" hidden="1" outlineLevel="1" x14ac:dyDescent="0.3">
      <c r="C2350" s="37" t="s">
        <v>813</v>
      </c>
      <c r="D2350" s="35" t="s">
        <v>771</v>
      </c>
    </row>
    <row r="2351" spans="3:4" hidden="1" outlineLevel="1" x14ac:dyDescent="0.3">
      <c r="C2351" s="37" t="s">
        <v>814</v>
      </c>
      <c r="D2351" s="35" t="s">
        <v>772</v>
      </c>
    </row>
    <row r="2352" spans="3:4" hidden="1" outlineLevel="1" x14ac:dyDescent="0.3">
      <c r="C2352" s="37" t="s">
        <v>815</v>
      </c>
      <c r="D2352" s="35" t="s">
        <v>773</v>
      </c>
    </row>
    <row r="2353" spans="2:4" hidden="1" outlineLevel="1" x14ac:dyDescent="0.3">
      <c r="C2353" s="37" t="s">
        <v>816</v>
      </c>
      <c r="D2353" s="35" t="s">
        <v>774</v>
      </c>
    </row>
    <row r="2354" spans="2:4" hidden="1" outlineLevel="1" x14ac:dyDescent="0.3">
      <c r="C2354" s="37" t="s">
        <v>817</v>
      </c>
      <c r="D2354" s="35" t="s">
        <v>775</v>
      </c>
    </row>
    <row r="2355" spans="2:4" hidden="1" outlineLevel="1" x14ac:dyDescent="0.3">
      <c r="C2355" s="37" t="s">
        <v>818</v>
      </c>
      <c r="D2355" s="35" t="s">
        <v>776</v>
      </c>
    </row>
    <row r="2356" spans="2:4" hidden="1" outlineLevel="1" x14ac:dyDescent="0.3">
      <c r="C2356" s="37" t="s">
        <v>819</v>
      </c>
      <c r="D2356" s="35" t="s">
        <v>777</v>
      </c>
    </row>
    <row r="2357" spans="2:4" collapsed="1" x14ac:dyDescent="0.3">
      <c r="B2357" s="43" t="s">
        <v>248</v>
      </c>
      <c r="C2357" t="s">
        <v>249</v>
      </c>
    </row>
    <row r="2358" spans="2:4" hidden="1" outlineLevel="1" x14ac:dyDescent="0.3">
      <c r="C2358" s="40" t="s">
        <v>779</v>
      </c>
      <c r="D2358" s="35" t="s">
        <v>745</v>
      </c>
    </row>
    <row r="2359" spans="2:4" hidden="1" outlineLevel="1" x14ac:dyDescent="0.3">
      <c r="C2359" s="41" t="s">
        <v>780</v>
      </c>
      <c r="D2359" s="42" t="s">
        <v>820</v>
      </c>
    </row>
    <row r="2360" spans="2:4" hidden="1" outlineLevel="1" x14ac:dyDescent="0.3">
      <c r="C2360" s="40" t="s">
        <v>781</v>
      </c>
      <c r="D2360" s="35" t="s">
        <v>746</v>
      </c>
    </row>
    <row r="2361" spans="2:4" hidden="1" outlineLevel="1" x14ac:dyDescent="0.3">
      <c r="C2361" s="41" t="s">
        <v>782</v>
      </c>
      <c r="D2361" s="35" t="s">
        <v>367</v>
      </c>
    </row>
    <row r="2362" spans="2:4" hidden="1" outlineLevel="1" x14ac:dyDescent="0.3">
      <c r="C2362" s="41" t="s">
        <v>785</v>
      </c>
      <c r="D2362" s="35" t="s">
        <v>68</v>
      </c>
    </row>
    <row r="2363" spans="2:4" hidden="1" outlineLevel="1" x14ac:dyDescent="0.3">
      <c r="C2363" s="41" t="s">
        <v>786</v>
      </c>
      <c r="D2363" s="35" t="s">
        <v>747</v>
      </c>
    </row>
    <row r="2364" spans="2:4" hidden="1" outlineLevel="1" x14ac:dyDescent="0.3">
      <c r="C2364" s="41" t="s">
        <v>783</v>
      </c>
      <c r="D2364" s="35" t="s">
        <v>11</v>
      </c>
    </row>
    <row r="2365" spans="2:4" hidden="1" outlineLevel="1" x14ac:dyDescent="0.3">
      <c r="C2365" s="41" t="s">
        <v>784</v>
      </c>
      <c r="D2365" s="35" t="s">
        <v>125</v>
      </c>
    </row>
    <row r="2366" spans="2:4" hidden="1" outlineLevel="1" x14ac:dyDescent="0.3">
      <c r="C2366" s="41" t="s">
        <v>787</v>
      </c>
      <c r="D2366" s="35" t="s">
        <v>748</v>
      </c>
    </row>
    <row r="2367" spans="2:4" hidden="1" outlineLevel="1" x14ac:dyDescent="0.3">
      <c r="C2367" s="37" t="s">
        <v>788</v>
      </c>
      <c r="D2367" s="35" t="s">
        <v>517</v>
      </c>
    </row>
    <row r="2368" spans="2:4" hidden="1" outlineLevel="1" x14ac:dyDescent="0.3">
      <c r="C2368" s="37" t="s">
        <v>789</v>
      </c>
      <c r="D2368" s="35" t="s">
        <v>386</v>
      </c>
    </row>
    <row r="2369" spans="3:4" hidden="1" outlineLevel="1" x14ac:dyDescent="0.3">
      <c r="C2369" s="37" t="s">
        <v>790</v>
      </c>
      <c r="D2369" s="35" t="s">
        <v>299</v>
      </c>
    </row>
    <row r="2370" spans="3:4" hidden="1" outlineLevel="1" x14ac:dyDescent="0.3">
      <c r="C2370" s="37" t="s">
        <v>791</v>
      </c>
      <c r="D2370" s="35" t="s">
        <v>749</v>
      </c>
    </row>
    <row r="2371" spans="3:4" hidden="1" outlineLevel="1" x14ac:dyDescent="0.3">
      <c r="C2371" s="37" t="s">
        <v>792</v>
      </c>
      <c r="D2371" s="35" t="s">
        <v>750</v>
      </c>
    </row>
    <row r="2372" spans="3:4" hidden="1" outlineLevel="1" x14ac:dyDescent="0.3">
      <c r="C2372" s="37" t="s">
        <v>793</v>
      </c>
      <c r="D2372" s="35" t="s">
        <v>751</v>
      </c>
    </row>
    <row r="2373" spans="3:4" hidden="1" outlineLevel="1" x14ac:dyDescent="0.3">
      <c r="C2373" s="37" t="s">
        <v>794</v>
      </c>
      <c r="D2373" s="35" t="s">
        <v>752</v>
      </c>
    </row>
    <row r="2374" spans="3:4" hidden="1" outlineLevel="1" x14ac:dyDescent="0.3">
      <c r="C2374" s="37" t="s">
        <v>795</v>
      </c>
      <c r="D2374" s="35" t="s">
        <v>753</v>
      </c>
    </row>
    <row r="2375" spans="3:4" hidden="1" outlineLevel="1" x14ac:dyDescent="0.3">
      <c r="C2375" s="37" t="s">
        <v>796</v>
      </c>
      <c r="D2375" s="35" t="s">
        <v>754</v>
      </c>
    </row>
    <row r="2376" spans="3:4" hidden="1" outlineLevel="1" x14ac:dyDescent="0.3">
      <c r="C2376" s="37" t="s">
        <v>797</v>
      </c>
      <c r="D2376" s="35" t="s">
        <v>755</v>
      </c>
    </row>
    <row r="2377" spans="3:4" hidden="1" outlineLevel="1" x14ac:dyDescent="0.3">
      <c r="C2377" s="37" t="s">
        <v>798</v>
      </c>
      <c r="D2377" s="35" t="s">
        <v>756</v>
      </c>
    </row>
    <row r="2378" spans="3:4" hidden="1" outlineLevel="1" x14ac:dyDescent="0.3">
      <c r="C2378" s="37" t="s">
        <v>799</v>
      </c>
      <c r="D2378" s="35" t="s">
        <v>757</v>
      </c>
    </row>
    <row r="2379" spans="3:4" hidden="1" outlineLevel="1" x14ac:dyDescent="0.3">
      <c r="C2379" s="37" t="s">
        <v>800</v>
      </c>
      <c r="D2379" s="35" t="s">
        <v>758</v>
      </c>
    </row>
    <row r="2380" spans="3:4" hidden="1" outlineLevel="1" x14ac:dyDescent="0.3">
      <c r="C2380" s="37" t="s">
        <v>801</v>
      </c>
      <c r="D2380" s="35" t="s">
        <v>759</v>
      </c>
    </row>
    <row r="2381" spans="3:4" hidden="1" outlineLevel="1" x14ac:dyDescent="0.3">
      <c r="C2381" s="37" t="s">
        <v>802</v>
      </c>
      <c r="D2381" s="35" t="s">
        <v>760</v>
      </c>
    </row>
    <row r="2382" spans="3:4" hidden="1" outlineLevel="1" x14ac:dyDescent="0.3">
      <c r="C2382" s="37" t="s">
        <v>803</v>
      </c>
      <c r="D2382" s="35" t="s">
        <v>761</v>
      </c>
    </row>
    <row r="2383" spans="3:4" hidden="1" outlineLevel="1" x14ac:dyDescent="0.3">
      <c r="C2383" s="37" t="s">
        <v>804</v>
      </c>
      <c r="D2383" s="35" t="s">
        <v>762</v>
      </c>
    </row>
    <row r="2384" spans="3:4" hidden="1" outlineLevel="1" x14ac:dyDescent="0.3">
      <c r="C2384" s="37" t="s">
        <v>805</v>
      </c>
      <c r="D2384" s="35" t="s">
        <v>763</v>
      </c>
    </row>
    <row r="2385" spans="2:4" hidden="1" outlineLevel="1" x14ac:dyDescent="0.3">
      <c r="C2385" s="37" t="s">
        <v>806</v>
      </c>
      <c r="D2385" s="35" t="s">
        <v>764</v>
      </c>
    </row>
    <row r="2386" spans="2:4" hidden="1" outlineLevel="1" x14ac:dyDescent="0.3">
      <c r="C2386" s="37" t="s">
        <v>807</v>
      </c>
      <c r="D2386" s="35" t="s">
        <v>765</v>
      </c>
    </row>
    <row r="2387" spans="2:4" hidden="1" outlineLevel="1" x14ac:dyDescent="0.3">
      <c r="C2387" s="37" t="s">
        <v>808</v>
      </c>
      <c r="D2387" s="35" t="s">
        <v>766</v>
      </c>
    </row>
    <row r="2388" spans="2:4" hidden="1" outlineLevel="1" x14ac:dyDescent="0.3">
      <c r="C2388" s="37" t="s">
        <v>809</v>
      </c>
      <c r="D2388" s="35" t="s">
        <v>767</v>
      </c>
    </row>
    <row r="2389" spans="2:4" hidden="1" outlineLevel="1" x14ac:dyDescent="0.3">
      <c r="C2389" s="37" t="s">
        <v>810</v>
      </c>
      <c r="D2389" s="35" t="s">
        <v>768</v>
      </c>
    </row>
    <row r="2390" spans="2:4" hidden="1" outlineLevel="1" x14ac:dyDescent="0.3">
      <c r="C2390" s="37" t="s">
        <v>811</v>
      </c>
      <c r="D2390" s="35" t="s">
        <v>769</v>
      </c>
    </row>
    <row r="2391" spans="2:4" hidden="1" outlineLevel="1" x14ac:dyDescent="0.3">
      <c r="C2391" s="37" t="s">
        <v>812</v>
      </c>
      <c r="D2391" s="35" t="s">
        <v>770</v>
      </c>
    </row>
    <row r="2392" spans="2:4" hidden="1" outlineLevel="1" x14ac:dyDescent="0.3">
      <c r="C2392" s="37" t="s">
        <v>813</v>
      </c>
      <c r="D2392" s="35" t="s">
        <v>771</v>
      </c>
    </row>
    <row r="2393" spans="2:4" hidden="1" outlineLevel="1" x14ac:dyDescent="0.3">
      <c r="C2393" s="37" t="s">
        <v>814</v>
      </c>
      <c r="D2393" s="35" t="s">
        <v>772</v>
      </c>
    </row>
    <row r="2394" spans="2:4" hidden="1" outlineLevel="1" x14ac:dyDescent="0.3">
      <c r="C2394" s="37" t="s">
        <v>815</v>
      </c>
      <c r="D2394" s="35" t="s">
        <v>773</v>
      </c>
    </row>
    <row r="2395" spans="2:4" hidden="1" outlineLevel="1" x14ac:dyDescent="0.3">
      <c r="C2395" s="37" t="s">
        <v>816</v>
      </c>
      <c r="D2395" s="35" t="s">
        <v>774</v>
      </c>
    </row>
    <row r="2396" spans="2:4" hidden="1" outlineLevel="1" x14ac:dyDescent="0.3">
      <c r="C2396" s="37" t="s">
        <v>817</v>
      </c>
      <c r="D2396" s="35" t="s">
        <v>775</v>
      </c>
    </row>
    <row r="2397" spans="2:4" hidden="1" outlineLevel="1" x14ac:dyDescent="0.3">
      <c r="C2397" s="37" t="s">
        <v>818</v>
      </c>
      <c r="D2397" s="35" t="s">
        <v>776</v>
      </c>
    </row>
    <row r="2398" spans="2:4" hidden="1" outlineLevel="1" x14ac:dyDescent="0.3">
      <c r="C2398" s="37" t="s">
        <v>819</v>
      </c>
      <c r="D2398" s="35" t="s">
        <v>777</v>
      </c>
    </row>
    <row r="2399" spans="2:4" collapsed="1" x14ac:dyDescent="0.3">
      <c r="B2399" s="43" t="s">
        <v>522</v>
      </c>
      <c r="C2399" t="s">
        <v>517</v>
      </c>
    </row>
    <row r="2400" spans="2:4" hidden="1" outlineLevel="1" x14ac:dyDescent="0.3">
      <c r="C2400" s="40" t="s">
        <v>779</v>
      </c>
      <c r="D2400" s="35" t="s">
        <v>745</v>
      </c>
    </row>
    <row r="2401" spans="3:4" hidden="1" outlineLevel="1" x14ac:dyDescent="0.3">
      <c r="C2401" s="41" t="s">
        <v>780</v>
      </c>
      <c r="D2401" s="42" t="s">
        <v>820</v>
      </c>
    </row>
    <row r="2402" spans="3:4" hidden="1" outlineLevel="1" x14ac:dyDescent="0.3">
      <c r="C2402" s="40" t="s">
        <v>781</v>
      </c>
      <c r="D2402" s="35" t="s">
        <v>746</v>
      </c>
    </row>
    <row r="2403" spans="3:4" hidden="1" outlineLevel="1" x14ac:dyDescent="0.3">
      <c r="C2403" s="41" t="s">
        <v>782</v>
      </c>
      <c r="D2403" s="35" t="s">
        <v>367</v>
      </c>
    </row>
    <row r="2404" spans="3:4" hidden="1" outlineLevel="1" x14ac:dyDescent="0.3">
      <c r="C2404" s="41" t="s">
        <v>785</v>
      </c>
      <c r="D2404" s="35" t="s">
        <v>68</v>
      </c>
    </row>
    <row r="2405" spans="3:4" hidden="1" outlineLevel="1" x14ac:dyDescent="0.3">
      <c r="C2405" s="41" t="s">
        <v>786</v>
      </c>
      <c r="D2405" s="35" t="s">
        <v>747</v>
      </c>
    </row>
    <row r="2406" spans="3:4" hidden="1" outlineLevel="1" x14ac:dyDescent="0.3">
      <c r="C2406" s="41" t="s">
        <v>783</v>
      </c>
      <c r="D2406" s="35" t="s">
        <v>11</v>
      </c>
    </row>
    <row r="2407" spans="3:4" hidden="1" outlineLevel="1" x14ac:dyDescent="0.3">
      <c r="C2407" s="41" t="s">
        <v>784</v>
      </c>
      <c r="D2407" s="35" t="s">
        <v>125</v>
      </c>
    </row>
    <row r="2408" spans="3:4" hidden="1" outlineLevel="1" x14ac:dyDescent="0.3">
      <c r="C2408" s="41" t="s">
        <v>787</v>
      </c>
      <c r="D2408" s="35" t="s">
        <v>748</v>
      </c>
    </row>
    <row r="2409" spans="3:4" hidden="1" outlineLevel="1" x14ac:dyDescent="0.3">
      <c r="C2409" s="37" t="s">
        <v>788</v>
      </c>
      <c r="D2409" s="35" t="s">
        <v>517</v>
      </c>
    </row>
    <row r="2410" spans="3:4" hidden="1" outlineLevel="1" x14ac:dyDescent="0.3">
      <c r="C2410" s="37" t="s">
        <v>789</v>
      </c>
      <c r="D2410" s="35" t="s">
        <v>386</v>
      </c>
    </row>
    <row r="2411" spans="3:4" hidden="1" outlineLevel="1" x14ac:dyDescent="0.3">
      <c r="C2411" s="37" t="s">
        <v>790</v>
      </c>
      <c r="D2411" s="35" t="s">
        <v>299</v>
      </c>
    </row>
    <row r="2412" spans="3:4" hidden="1" outlineLevel="1" x14ac:dyDescent="0.3">
      <c r="C2412" s="37" t="s">
        <v>791</v>
      </c>
      <c r="D2412" s="35" t="s">
        <v>749</v>
      </c>
    </row>
    <row r="2413" spans="3:4" hidden="1" outlineLevel="1" x14ac:dyDescent="0.3">
      <c r="C2413" s="37" t="s">
        <v>792</v>
      </c>
      <c r="D2413" s="35" t="s">
        <v>750</v>
      </c>
    </row>
    <row r="2414" spans="3:4" hidden="1" outlineLevel="1" x14ac:dyDescent="0.3">
      <c r="C2414" s="37" t="s">
        <v>793</v>
      </c>
      <c r="D2414" s="35" t="s">
        <v>751</v>
      </c>
    </row>
    <row r="2415" spans="3:4" hidden="1" outlineLevel="1" x14ac:dyDescent="0.3">
      <c r="C2415" s="37" t="s">
        <v>794</v>
      </c>
      <c r="D2415" s="35" t="s">
        <v>752</v>
      </c>
    </row>
    <row r="2416" spans="3:4" hidden="1" outlineLevel="1" x14ac:dyDescent="0.3">
      <c r="C2416" s="37" t="s">
        <v>795</v>
      </c>
      <c r="D2416" s="35" t="s">
        <v>753</v>
      </c>
    </row>
    <row r="2417" spans="3:4" hidden="1" outlineLevel="1" x14ac:dyDescent="0.3">
      <c r="C2417" s="37" t="s">
        <v>796</v>
      </c>
      <c r="D2417" s="35" t="s">
        <v>754</v>
      </c>
    </row>
    <row r="2418" spans="3:4" hidden="1" outlineLevel="1" x14ac:dyDescent="0.3">
      <c r="C2418" s="37" t="s">
        <v>797</v>
      </c>
      <c r="D2418" s="35" t="s">
        <v>755</v>
      </c>
    </row>
    <row r="2419" spans="3:4" hidden="1" outlineLevel="1" x14ac:dyDescent="0.3">
      <c r="C2419" s="37" t="s">
        <v>798</v>
      </c>
      <c r="D2419" s="35" t="s">
        <v>756</v>
      </c>
    </row>
    <row r="2420" spans="3:4" hidden="1" outlineLevel="1" x14ac:dyDescent="0.3">
      <c r="C2420" s="37" t="s">
        <v>799</v>
      </c>
      <c r="D2420" s="35" t="s">
        <v>757</v>
      </c>
    </row>
    <row r="2421" spans="3:4" hidden="1" outlineLevel="1" x14ac:dyDescent="0.3">
      <c r="C2421" s="37" t="s">
        <v>800</v>
      </c>
      <c r="D2421" s="35" t="s">
        <v>758</v>
      </c>
    </row>
    <row r="2422" spans="3:4" hidden="1" outlineLevel="1" x14ac:dyDescent="0.3">
      <c r="C2422" s="37" t="s">
        <v>801</v>
      </c>
      <c r="D2422" s="35" t="s">
        <v>759</v>
      </c>
    </row>
    <row r="2423" spans="3:4" hidden="1" outlineLevel="1" x14ac:dyDescent="0.3">
      <c r="C2423" s="37" t="s">
        <v>802</v>
      </c>
      <c r="D2423" s="35" t="s">
        <v>760</v>
      </c>
    </row>
    <row r="2424" spans="3:4" hidden="1" outlineLevel="1" x14ac:dyDescent="0.3">
      <c r="C2424" s="37" t="s">
        <v>803</v>
      </c>
      <c r="D2424" s="35" t="s">
        <v>761</v>
      </c>
    </row>
    <row r="2425" spans="3:4" hidden="1" outlineLevel="1" x14ac:dyDescent="0.3">
      <c r="C2425" s="37" t="s">
        <v>804</v>
      </c>
      <c r="D2425" s="35" t="s">
        <v>762</v>
      </c>
    </row>
    <row r="2426" spans="3:4" hidden="1" outlineLevel="1" x14ac:dyDescent="0.3">
      <c r="C2426" s="37" t="s">
        <v>805</v>
      </c>
      <c r="D2426" s="35" t="s">
        <v>763</v>
      </c>
    </row>
    <row r="2427" spans="3:4" hidden="1" outlineLevel="1" x14ac:dyDescent="0.3">
      <c r="C2427" s="37" t="s">
        <v>806</v>
      </c>
      <c r="D2427" s="35" t="s">
        <v>764</v>
      </c>
    </row>
    <row r="2428" spans="3:4" hidden="1" outlineLevel="1" x14ac:dyDescent="0.3">
      <c r="C2428" s="37" t="s">
        <v>807</v>
      </c>
      <c r="D2428" s="35" t="s">
        <v>765</v>
      </c>
    </row>
    <row r="2429" spans="3:4" hidden="1" outlineLevel="1" x14ac:dyDescent="0.3">
      <c r="C2429" s="37" t="s">
        <v>808</v>
      </c>
      <c r="D2429" s="35" t="s">
        <v>766</v>
      </c>
    </row>
    <row r="2430" spans="3:4" hidden="1" outlineLevel="1" x14ac:dyDescent="0.3">
      <c r="C2430" s="37" t="s">
        <v>809</v>
      </c>
      <c r="D2430" s="35" t="s">
        <v>767</v>
      </c>
    </row>
    <row r="2431" spans="3:4" hidden="1" outlineLevel="1" x14ac:dyDescent="0.3">
      <c r="C2431" s="37" t="s">
        <v>810</v>
      </c>
      <c r="D2431" s="35" t="s">
        <v>768</v>
      </c>
    </row>
    <row r="2432" spans="3:4" hidden="1" outlineLevel="1" x14ac:dyDescent="0.3">
      <c r="C2432" s="37" t="s">
        <v>811</v>
      </c>
      <c r="D2432" s="35" t="s">
        <v>769</v>
      </c>
    </row>
    <row r="2433" spans="2:4" hidden="1" outlineLevel="1" x14ac:dyDescent="0.3">
      <c r="C2433" s="37" t="s">
        <v>812</v>
      </c>
      <c r="D2433" s="35" t="s">
        <v>770</v>
      </c>
    </row>
    <row r="2434" spans="2:4" hidden="1" outlineLevel="1" x14ac:dyDescent="0.3">
      <c r="C2434" s="37" t="s">
        <v>813</v>
      </c>
      <c r="D2434" s="35" t="s">
        <v>771</v>
      </c>
    </row>
    <row r="2435" spans="2:4" hidden="1" outlineLevel="1" x14ac:dyDescent="0.3">
      <c r="C2435" s="37" t="s">
        <v>814</v>
      </c>
      <c r="D2435" s="35" t="s">
        <v>772</v>
      </c>
    </row>
    <row r="2436" spans="2:4" hidden="1" outlineLevel="1" x14ac:dyDescent="0.3">
      <c r="C2436" s="37" t="s">
        <v>815</v>
      </c>
      <c r="D2436" s="35" t="s">
        <v>773</v>
      </c>
    </row>
    <row r="2437" spans="2:4" hidden="1" outlineLevel="1" x14ac:dyDescent="0.3">
      <c r="C2437" s="37" t="s">
        <v>816</v>
      </c>
      <c r="D2437" s="35" t="s">
        <v>774</v>
      </c>
    </row>
    <row r="2438" spans="2:4" hidden="1" outlineLevel="1" x14ac:dyDescent="0.3">
      <c r="C2438" s="37" t="s">
        <v>817</v>
      </c>
      <c r="D2438" s="35" t="s">
        <v>775</v>
      </c>
    </row>
    <row r="2439" spans="2:4" hidden="1" outlineLevel="1" x14ac:dyDescent="0.3">
      <c r="C2439" s="37" t="s">
        <v>818</v>
      </c>
      <c r="D2439" s="35" t="s">
        <v>776</v>
      </c>
    </row>
    <row r="2440" spans="2:4" hidden="1" outlineLevel="1" x14ac:dyDescent="0.3">
      <c r="C2440" s="37" t="s">
        <v>819</v>
      </c>
      <c r="D2440" s="35" t="s">
        <v>777</v>
      </c>
    </row>
    <row r="2441" spans="2:4" collapsed="1" x14ac:dyDescent="0.3">
      <c r="B2441" s="43" t="s">
        <v>10</v>
      </c>
      <c r="C2441" t="s">
        <v>11</v>
      </c>
    </row>
    <row r="2442" spans="2:4" hidden="1" outlineLevel="1" x14ac:dyDescent="0.3">
      <c r="C2442" s="40" t="s">
        <v>779</v>
      </c>
      <c r="D2442" s="35" t="s">
        <v>745</v>
      </c>
    </row>
    <row r="2443" spans="2:4" hidden="1" outlineLevel="1" x14ac:dyDescent="0.3">
      <c r="C2443" s="41" t="s">
        <v>780</v>
      </c>
      <c r="D2443" s="42" t="s">
        <v>820</v>
      </c>
    </row>
    <row r="2444" spans="2:4" hidden="1" outlineLevel="1" x14ac:dyDescent="0.3">
      <c r="C2444" s="40" t="s">
        <v>781</v>
      </c>
      <c r="D2444" s="35" t="s">
        <v>746</v>
      </c>
    </row>
    <row r="2445" spans="2:4" hidden="1" outlineLevel="1" x14ac:dyDescent="0.3">
      <c r="C2445" s="41" t="s">
        <v>782</v>
      </c>
      <c r="D2445" s="35" t="s">
        <v>367</v>
      </c>
    </row>
    <row r="2446" spans="2:4" hidden="1" outlineLevel="1" x14ac:dyDescent="0.3">
      <c r="C2446" s="41" t="s">
        <v>785</v>
      </c>
      <c r="D2446" s="35" t="s">
        <v>68</v>
      </c>
    </row>
    <row r="2447" spans="2:4" hidden="1" outlineLevel="1" x14ac:dyDescent="0.3">
      <c r="C2447" s="41" t="s">
        <v>786</v>
      </c>
      <c r="D2447" s="35" t="s">
        <v>747</v>
      </c>
    </row>
    <row r="2448" spans="2:4" hidden="1" outlineLevel="1" x14ac:dyDescent="0.3">
      <c r="C2448" s="41" t="s">
        <v>783</v>
      </c>
      <c r="D2448" s="35" t="s">
        <v>11</v>
      </c>
    </row>
    <row r="2449" spans="3:4" hidden="1" outlineLevel="1" x14ac:dyDescent="0.3">
      <c r="C2449" s="41" t="s">
        <v>784</v>
      </c>
      <c r="D2449" s="35" t="s">
        <v>125</v>
      </c>
    </row>
    <row r="2450" spans="3:4" hidden="1" outlineLevel="1" x14ac:dyDescent="0.3">
      <c r="C2450" s="41" t="s">
        <v>787</v>
      </c>
      <c r="D2450" s="35" t="s">
        <v>748</v>
      </c>
    </row>
    <row r="2451" spans="3:4" hidden="1" outlineLevel="1" x14ac:dyDescent="0.3">
      <c r="C2451" s="37" t="s">
        <v>788</v>
      </c>
      <c r="D2451" s="35" t="s">
        <v>517</v>
      </c>
    </row>
    <row r="2452" spans="3:4" hidden="1" outlineLevel="1" x14ac:dyDescent="0.3">
      <c r="C2452" s="37" t="s">
        <v>789</v>
      </c>
      <c r="D2452" s="35" t="s">
        <v>386</v>
      </c>
    </row>
    <row r="2453" spans="3:4" hidden="1" outlineLevel="1" x14ac:dyDescent="0.3">
      <c r="C2453" s="37" t="s">
        <v>790</v>
      </c>
      <c r="D2453" s="35" t="s">
        <v>299</v>
      </c>
    </row>
    <row r="2454" spans="3:4" hidden="1" outlineLevel="1" x14ac:dyDescent="0.3">
      <c r="C2454" s="37" t="s">
        <v>791</v>
      </c>
      <c r="D2454" s="35" t="s">
        <v>749</v>
      </c>
    </row>
    <row r="2455" spans="3:4" hidden="1" outlineLevel="1" x14ac:dyDescent="0.3">
      <c r="C2455" s="37" t="s">
        <v>792</v>
      </c>
      <c r="D2455" s="35" t="s">
        <v>750</v>
      </c>
    </row>
    <row r="2456" spans="3:4" hidden="1" outlineLevel="1" x14ac:dyDescent="0.3">
      <c r="C2456" s="37" t="s">
        <v>793</v>
      </c>
      <c r="D2456" s="35" t="s">
        <v>751</v>
      </c>
    </row>
    <row r="2457" spans="3:4" hidden="1" outlineLevel="1" x14ac:dyDescent="0.3">
      <c r="C2457" s="37" t="s">
        <v>794</v>
      </c>
      <c r="D2457" s="35" t="s">
        <v>752</v>
      </c>
    </row>
    <row r="2458" spans="3:4" hidden="1" outlineLevel="1" x14ac:dyDescent="0.3">
      <c r="C2458" s="37" t="s">
        <v>795</v>
      </c>
      <c r="D2458" s="35" t="s">
        <v>753</v>
      </c>
    </row>
    <row r="2459" spans="3:4" hidden="1" outlineLevel="1" x14ac:dyDescent="0.3">
      <c r="C2459" s="37" t="s">
        <v>796</v>
      </c>
      <c r="D2459" s="35" t="s">
        <v>754</v>
      </c>
    </row>
    <row r="2460" spans="3:4" hidden="1" outlineLevel="1" x14ac:dyDescent="0.3">
      <c r="C2460" s="37" t="s">
        <v>797</v>
      </c>
      <c r="D2460" s="35" t="s">
        <v>755</v>
      </c>
    </row>
    <row r="2461" spans="3:4" hidden="1" outlineLevel="1" x14ac:dyDescent="0.3">
      <c r="C2461" s="37" t="s">
        <v>798</v>
      </c>
      <c r="D2461" s="35" t="s">
        <v>756</v>
      </c>
    </row>
    <row r="2462" spans="3:4" hidden="1" outlineLevel="1" x14ac:dyDescent="0.3">
      <c r="C2462" s="37" t="s">
        <v>799</v>
      </c>
      <c r="D2462" s="35" t="s">
        <v>757</v>
      </c>
    </row>
    <row r="2463" spans="3:4" hidden="1" outlineLevel="1" x14ac:dyDescent="0.3">
      <c r="C2463" s="37" t="s">
        <v>800</v>
      </c>
      <c r="D2463" s="35" t="s">
        <v>758</v>
      </c>
    </row>
    <row r="2464" spans="3:4" hidden="1" outlineLevel="1" x14ac:dyDescent="0.3">
      <c r="C2464" s="37" t="s">
        <v>801</v>
      </c>
      <c r="D2464" s="35" t="s">
        <v>759</v>
      </c>
    </row>
    <row r="2465" spans="3:4" hidden="1" outlineLevel="1" x14ac:dyDescent="0.3">
      <c r="C2465" s="37" t="s">
        <v>802</v>
      </c>
      <c r="D2465" s="35" t="s">
        <v>760</v>
      </c>
    </row>
    <row r="2466" spans="3:4" hidden="1" outlineLevel="1" x14ac:dyDescent="0.3">
      <c r="C2466" s="37" t="s">
        <v>803</v>
      </c>
      <c r="D2466" s="35" t="s">
        <v>761</v>
      </c>
    </row>
    <row r="2467" spans="3:4" hidden="1" outlineLevel="1" x14ac:dyDescent="0.3">
      <c r="C2467" s="37" t="s">
        <v>804</v>
      </c>
      <c r="D2467" s="35" t="s">
        <v>762</v>
      </c>
    </row>
    <row r="2468" spans="3:4" hidden="1" outlineLevel="1" x14ac:dyDescent="0.3">
      <c r="C2468" s="37" t="s">
        <v>805</v>
      </c>
      <c r="D2468" s="35" t="s">
        <v>763</v>
      </c>
    </row>
    <row r="2469" spans="3:4" hidden="1" outlineLevel="1" x14ac:dyDescent="0.3">
      <c r="C2469" s="37" t="s">
        <v>806</v>
      </c>
      <c r="D2469" s="35" t="s">
        <v>764</v>
      </c>
    </row>
    <row r="2470" spans="3:4" hidden="1" outlineLevel="1" x14ac:dyDescent="0.3">
      <c r="C2470" s="37" t="s">
        <v>807</v>
      </c>
      <c r="D2470" s="35" t="s">
        <v>765</v>
      </c>
    </row>
    <row r="2471" spans="3:4" hidden="1" outlineLevel="1" x14ac:dyDescent="0.3">
      <c r="C2471" s="37" t="s">
        <v>808</v>
      </c>
      <c r="D2471" s="35" t="s">
        <v>766</v>
      </c>
    </row>
    <row r="2472" spans="3:4" hidden="1" outlineLevel="1" x14ac:dyDescent="0.3">
      <c r="C2472" s="37" t="s">
        <v>809</v>
      </c>
      <c r="D2472" s="35" t="s">
        <v>767</v>
      </c>
    </row>
    <row r="2473" spans="3:4" hidden="1" outlineLevel="1" x14ac:dyDescent="0.3">
      <c r="C2473" s="37" t="s">
        <v>810</v>
      </c>
      <c r="D2473" s="35" t="s">
        <v>768</v>
      </c>
    </row>
    <row r="2474" spans="3:4" hidden="1" outlineLevel="1" x14ac:dyDescent="0.3">
      <c r="C2474" s="37" t="s">
        <v>811</v>
      </c>
      <c r="D2474" s="35" t="s">
        <v>769</v>
      </c>
    </row>
    <row r="2475" spans="3:4" hidden="1" outlineLevel="1" x14ac:dyDescent="0.3">
      <c r="C2475" s="37" t="s">
        <v>812</v>
      </c>
      <c r="D2475" s="35" t="s">
        <v>770</v>
      </c>
    </row>
    <row r="2476" spans="3:4" hidden="1" outlineLevel="1" x14ac:dyDescent="0.3">
      <c r="C2476" s="37" t="s">
        <v>813</v>
      </c>
      <c r="D2476" s="35" t="s">
        <v>771</v>
      </c>
    </row>
    <row r="2477" spans="3:4" hidden="1" outlineLevel="1" x14ac:dyDescent="0.3">
      <c r="C2477" s="37" t="s">
        <v>814</v>
      </c>
      <c r="D2477" s="35" t="s">
        <v>772</v>
      </c>
    </row>
    <row r="2478" spans="3:4" hidden="1" outlineLevel="1" x14ac:dyDescent="0.3">
      <c r="C2478" s="37" t="s">
        <v>815</v>
      </c>
      <c r="D2478" s="35" t="s">
        <v>773</v>
      </c>
    </row>
    <row r="2479" spans="3:4" hidden="1" outlineLevel="1" x14ac:dyDescent="0.3">
      <c r="C2479" s="37" t="s">
        <v>816</v>
      </c>
      <c r="D2479" s="35" t="s">
        <v>774</v>
      </c>
    </row>
    <row r="2480" spans="3:4" hidden="1" outlineLevel="1" x14ac:dyDescent="0.3">
      <c r="C2480" s="37" t="s">
        <v>817</v>
      </c>
      <c r="D2480" s="35" t="s">
        <v>775</v>
      </c>
    </row>
    <row r="2481" spans="2:4" hidden="1" outlineLevel="1" x14ac:dyDescent="0.3">
      <c r="C2481" s="37" t="s">
        <v>818</v>
      </c>
      <c r="D2481" s="35" t="s">
        <v>776</v>
      </c>
    </row>
    <row r="2482" spans="2:4" hidden="1" outlineLevel="1" x14ac:dyDescent="0.3">
      <c r="C2482" s="37" t="s">
        <v>819</v>
      </c>
      <c r="D2482" s="35" t="s">
        <v>777</v>
      </c>
    </row>
    <row r="2483" spans="2:4" collapsed="1" x14ac:dyDescent="0.3">
      <c r="B2483" s="43" t="s">
        <v>290</v>
      </c>
      <c r="C2483" t="s">
        <v>249</v>
      </c>
    </row>
    <row r="2484" spans="2:4" hidden="1" outlineLevel="1" x14ac:dyDescent="0.3">
      <c r="C2484" s="40" t="s">
        <v>779</v>
      </c>
      <c r="D2484" s="35" t="s">
        <v>745</v>
      </c>
    </row>
    <row r="2485" spans="2:4" hidden="1" outlineLevel="1" x14ac:dyDescent="0.3">
      <c r="C2485" s="41" t="s">
        <v>780</v>
      </c>
      <c r="D2485" s="42" t="s">
        <v>820</v>
      </c>
    </row>
    <row r="2486" spans="2:4" hidden="1" outlineLevel="1" x14ac:dyDescent="0.3">
      <c r="C2486" s="40" t="s">
        <v>781</v>
      </c>
      <c r="D2486" s="35" t="s">
        <v>746</v>
      </c>
    </row>
    <row r="2487" spans="2:4" hidden="1" outlineLevel="1" x14ac:dyDescent="0.3">
      <c r="C2487" s="41" t="s">
        <v>782</v>
      </c>
      <c r="D2487" s="35" t="s">
        <v>367</v>
      </c>
    </row>
    <row r="2488" spans="2:4" hidden="1" outlineLevel="1" x14ac:dyDescent="0.3">
      <c r="C2488" s="41" t="s">
        <v>785</v>
      </c>
      <c r="D2488" s="35" t="s">
        <v>68</v>
      </c>
    </row>
    <row r="2489" spans="2:4" hidden="1" outlineLevel="1" x14ac:dyDescent="0.3">
      <c r="C2489" s="41" t="s">
        <v>786</v>
      </c>
      <c r="D2489" s="35" t="s">
        <v>747</v>
      </c>
    </row>
    <row r="2490" spans="2:4" hidden="1" outlineLevel="1" x14ac:dyDescent="0.3">
      <c r="C2490" s="41" t="s">
        <v>783</v>
      </c>
      <c r="D2490" s="35" t="s">
        <v>11</v>
      </c>
    </row>
    <row r="2491" spans="2:4" hidden="1" outlineLevel="1" x14ac:dyDescent="0.3">
      <c r="C2491" s="41" t="s">
        <v>784</v>
      </c>
      <c r="D2491" s="35" t="s">
        <v>125</v>
      </c>
    </row>
    <row r="2492" spans="2:4" hidden="1" outlineLevel="1" x14ac:dyDescent="0.3">
      <c r="C2492" s="41" t="s">
        <v>787</v>
      </c>
      <c r="D2492" s="35" t="s">
        <v>748</v>
      </c>
    </row>
    <row r="2493" spans="2:4" hidden="1" outlineLevel="1" x14ac:dyDescent="0.3">
      <c r="C2493" s="37" t="s">
        <v>788</v>
      </c>
      <c r="D2493" s="35" t="s">
        <v>517</v>
      </c>
    </row>
    <row r="2494" spans="2:4" hidden="1" outlineLevel="1" x14ac:dyDescent="0.3">
      <c r="C2494" s="37" t="s">
        <v>789</v>
      </c>
      <c r="D2494" s="35" t="s">
        <v>386</v>
      </c>
    </row>
    <row r="2495" spans="2:4" hidden="1" outlineLevel="1" x14ac:dyDescent="0.3">
      <c r="C2495" s="37" t="s">
        <v>790</v>
      </c>
      <c r="D2495" s="35" t="s">
        <v>299</v>
      </c>
    </row>
    <row r="2496" spans="2:4" hidden="1" outlineLevel="1" x14ac:dyDescent="0.3">
      <c r="C2496" s="37" t="s">
        <v>791</v>
      </c>
      <c r="D2496" s="35" t="s">
        <v>749</v>
      </c>
    </row>
    <row r="2497" spans="3:4" hidden="1" outlineLevel="1" x14ac:dyDescent="0.3">
      <c r="C2497" s="37" t="s">
        <v>792</v>
      </c>
      <c r="D2497" s="35" t="s">
        <v>750</v>
      </c>
    </row>
    <row r="2498" spans="3:4" hidden="1" outlineLevel="1" x14ac:dyDescent="0.3">
      <c r="C2498" s="37" t="s">
        <v>793</v>
      </c>
      <c r="D2498" s="35" t="s">
        <v>751</v>
      </c>
    </row>
    <row r="2499" spans="3:4" hidden="1" outlineLevel="1" x14ac:dyDescent="0.3">
      <c r="C2499" s="37" t="s">
        <v>794</v>
      </c>
      <c r="D2499" s="35" t="s">
        <v>752</v>
      </c>
    </row>
    <row r="2500" spans="3:4" hidden="1" outlineLevel="1" x14ac:dyDescent="0.3">
      <c r="C2500" s="37" t="s">
        <v>795</v>
      </c>
      <c r="D2500" s="35" t="s">
        <v>753</v>
      </c>
    </row>
    <row r="2501" spans="3:4" hidden="1" outlineLevel="1" x14ac:dyDescent="0.3">
      <c r="C2501" s="37" t="s">
        <v>796</v>
      </c>
      <c r="D2501" s="35" t="s">
        <v>754</v>
      </c>
    </row>
    <row r="2502" spans="3:4" hidden="1" outlineLevel="1" x14ac:dyDescent="0.3">
      <c r="C2502" s="37" t="s">
        <v>797</v>
      </c>
      <c r="D2502" s="35" t="s">
        <v>755</v>
      </c>
    </row>
    <row r="2503" spans="3:4" hidden="1" outlineLevel="1" x14ac:dyDescent="0.3">
      <c r="C2503" s="37" t="s">
        <v>798</v>
      </c>
      <c r="D2503" s="35" t="s">
        <v>756</v>
      </c>
    </row>
    <row r="2504" spans="3:4" hidden="1" outlineLevel="1" x14ac:dyDescent="0.3">
      <c r="C2504" s="37" t="s">
        <v>799</v>
      </c>
      <c r="D2504" s="35" t="s">
        <v>757</v>
      </c>
    </row>
    <row r="2505" spans="3:4" hidden="1" outlineLevel="1" x14ac:dyDescent="0.3">
      <c r="C2505" s="37" t="s">
        <v>800</v>
      </c>
      <c r="D2505" s="35" t="s">
        <v>758</v>
      </c>
    </row>
    <row r="2506" spans="3:4" hidden="1" outlineLevel="1" x14ac:dyDescent="0.3">
      <c r="C2506" s="37" t="s">
        <v>801</v>
      </c>
      <c r="D2506" s="35" t="s">
        <v>759</v>
      </c>
    </row>
    <row r="2507" spans="3:4" hidden="1" outlineLevel="1" x14ac:dyDescent="0.3">
      <c r="C2507" s="37" t="s">
        <v>802</v>
      </c>
      <c r="D2507" s="35" t="s">
        <v>760</v>
      </c>
    </row>
    <row r="2508" spans="3:4" hidden="1" outlineLevel="1" x14ac:dyDescent="0.3">
      <c r="C2508" s="37" t="s">
        <v>803</v>
      </c>
      <c r="D2508" s="35" t="s">
        <v>761</v>
      </c>
    </row>
    <row r="2509" spans="3:4" hidden="1" outlineLevel="1" x14ac:dyDescent="0.3">
      <c r="C2509" s="37" t="s">
        <v>804</v>
      </c>
      <c r="D2509" s="35" t="s">
        <v>762</v>
      </c>
    </row>
    <row r="2510" spans="3:4" hidden="1" outlineLevel="1" x14ac:dyDescent="0.3">
      <c r="C2510" s="37" t="s">
        <v>805</v>
      </c>
      <c r="D2510" s="35" t="s">
        <v>763</v>
      </c>
    </row>
    <row r="2511" spans="3:4" hidden="1" outlineLevel="1" x14ac:dyDescent="0.3">
      <c r="C2511" s="37" t="s">
        <v>806</v>
      </c>
      <c r="D2511" s="35" t="s">
        <v>764</v>
      </c>
    </row>
    <row r="2512" spans="3:4" hidden="1" outlineLevel="1" x14ac:dyDescent="0.3">
      <c r="C2512" s="37" t="s">
        <v>807</v>
      </c>
      <c r="D2512" s="35" t="s">
        <v>765</v>
      </c>
    </row>
    <row r="2513" spans="2:4" hidden="1" outlineLevel="1" x14ac:dyDescent="0.3">
      <c r="C2513" s="37" t="s">
        <v>808</v>
      </c>
      <c r="D2513" s="35" t="s">
        <v>766</v>
      </c>
    </row>
    <row r="2514" spans="2:4" hidden="1" outlineLevel="1" x14ac:dyDescent="0.3">
      <c r="C2514" s="37" t="s">
        <v>809</v>
      </c>
      <c r="D2514" s="35" t="s">
        <v>767</v>
      </c>
    </row>
    <row r="2515" spans="2:4" hidden="1" outlineLevel="1" x14ac:dyDescent="0.3">
      <c r="C2515" s="37" t="s">
        <v>810</v>
      </c>
      <c r="D2515" s="35" t="s">
        <v>768</v>
      </c>
    </row>
    <row r="2516" spans="2:4" hidden="1" outlineLevel="1" x14ac:dyDescent="0.3">
      <c r="C2516" s="37" t="s">
        <v>811</v>
      </c>
      <c r="D2516" s="35" t="s">
        <v>769</v>
      </c>
    </row>
    <row r="2517" spans="2:4" hidden="1" outlineLevel="1" x14ac:dyDescent="0.3">
      <c r="C2517" s="37" t="s">
        <v>812</v>
      </c>
      <c r="D2517" s="35" t="s">
        <v>770</v>
      </c>
    </row>
    <row r="2518" spans="2:4" hidden="1" outlineLevel="1" x14ac:dyDescent="0.3">
      <c r="C2518" s="37" t="s">
        <v>813</v>
      </c>
      <c r="D2518" s="35" t="s">
        <v>771</v>
      </c>
    </row>
    <row r="2519" spans="2:4" hidden="1" outlineLevel="1" x14ac:dyDescent="0.3">
      <c r="C2519" s="37" t="s">
        <v>814</v>
      </c>
      <c r="D2519" s="35" t="s">
        <v>772</v>
      </c>
    </row>
    <row r="2520" spans="2:4" hidden="1" outlineLevel="1" x14ac:dyDescent="0.3">
      <c r="C2520" s="37" t="s">
        <v>815</v>
      </c>
      <c r="D2520" s="35" t="s">
        <v>773</v>
      </c>
    </row>
    <row r="2521" spans="2:4" hidden="1" outlineLevel="1" x14ac:dyDescent="0.3">
      <c r="C2521" s="37" t="s">
        <v>816</v>
      </c>
      <c r="D2521" s="35" t="s">
        <v>774</v>
      </c>
    </row>
    <row r="2522" spans="2:4" hidden="1" outlineLevel="1" x14ac:dyDescent="0.3">
      <c r="C2522" s="37" t="s">
        <v>817</v>
      </c>
      <c r="D2522" s="35" t="s">
        <v>775</v>
      </c>
    </row>
    <row r="2523" spans="2:4" hidden="1" outlineLevel="1" x14ac:dyDescent="0.3">
      <c r="C2523" s="37" t="s">
        <v>818</v>
      </c>
      <c r="D2523" s="35" t="s">
        <v>776</v>
      </c>
    </row>
    <row r="2524" spans="2:4" hidden="1" outlineLevel="1" x14ac:dyDescent="0.3">
      <c r="C2524" s="37" t="s">
        <v>819</v>
      </c>
      <c r="D2524" s="35" t="s">
        <v>777</v>
      </c>
    </row>
    <row r="2525" spans="2:4" collapsed="1" x14ac:dyDescent="0.3">
      <c r="B2525" s="43" t="s">
        <v>423</v>
      </c>
      <c r="C2525" t="s">
        <v>249</v>
      </c>
    </row>
    <row r="2526" spans="2:4" hidden="1" outlineLevel="1" x14ac:dyDescent="0.3">
      <c r="C2526" s="40" t="s">
        <v>779</v>
      </c>
      <c r="D2526" s="35" t="s">
        <v>745</v>
      </c>
    </row>
    <row r="2527" spans="2:4" hidden="1" outlineLevel="1" x14ac:dyDescent="0.3">
      <c r="C2527" s="41" t="s">
        <v>780</v>
      </c>
      <c r="D2527" s="42" t="s">
        <v>820</v>
      </c>
    </row>
    <row r="2528" spans="2:4" hidden="1" outlineLevel="1" x14ac:dyDescent="0.3">
      <c r="C2528" s="40" t="s">
        <v>781</v>
      </c>
      <c r="D2528" s="35" t="s">
        <v>746</v>
      </c>
    </row>
    <row r="2529" spans="3:4" hidden="1" outlineLevel="1" x14ac:dyDescent="0.3">
      <c r="C2529" s="41" t="s">
        <v>782</v>
      </c>
      <c r="D2529" s="35" t="s">
        <v>367</v>
      </c>
    </row>
    <row r="2530" spans="3:4" hidden="1" outlineLevel="1" x14ac:dyDescent="0.3">
      <c r="C2530" s="41" t="s">
        <v>785</v>
      </c>
      <c r="D2530" s="35" t="s">
        <v>68</v>
      </c>
    </row>
    <row r="2531" spans="3:4" hidden="1" outlineLevel="1" x14ac:dyDescent="0.3">
      <c r="C2531" s="41" t="s">
        <v>786</v>
      </c>
      <c r="D2531" s="35" t="s">
        <v>747</v>
      </c>
    </row>
    <row r="2532" spans="3:4" hidden="1" outlineLevel="1" x14ac:dyDescent="0.3">
      <c r="C2532" s="41" t="s">
        <v>783</v>
      </c>
      <c r="D2532" s="35" t="s">
        <v>11</v>
      </c>
    </row>
    <row r="2533" spans="3:4" hidden="1" outlineLevel="1" x14ac:dyDescent="0.3">
      <c r="C2533" s="41" t="s">
        <v>784</v>
      </c>
      <c r="D2533" s="35" t="s">
        <v>125</v>
      </c>
    </row>
    <row r="2534" spans="3:4" hidden="1" outlineLevel="1" x14ac:dyDescent="0.3">
      <c r="C2534" s="41" t="s">
        <v>787</v>
      </c>
      <c r="D2534" s="35" t="s">
        <v>748</v>
      </c>
    </row>
    <row r="2535" spans="3:4" hidden="1" outlineLevel="1" x14ac:dyDescent="0.3">
      <c r="C2535" s="37" t="s">
        <v>788</v>
      </c>
      <c r="D2535" s="35" t="s">
        <v>517</v>
      </c>
    </row>
    <row r="2536" spans="3:4" hidden="1" outlineLevel="1" x14ac:dyDescent="0.3">
      <c r="C2536" s="37" t="s">
        <v>789</v>
      </c>
      <c r="D2536" s="35" t="s">
        <v>386</v>
      </c>
    </row>
    <row r="2537" spans="3:4" hidden="1" outlineLevel="1" x14ac:dyDescent="0.3">
      <c r="C2537" s="37" t="s">
        <v>790</v>
      </c>
      <c r="D2537" s="35" t="s">
        <v>299</v>
      </c>
    </row>
    <row r="2538" spans="3:4" hidden="1" outlineLevel="1" x14ac:dyDescent="0.3">
      <c r="C2538" s="37" t="s">
        <v>791</v>
      </c>
      <c r="D2538" s="35" t="s">
        <v>749</v>
      </c>
    </row>
    <row r="2539" spans="3:4" hidden="1" outlineLevel="1" x14ac:dyDescent="0.3">
      <c r="C2539" s="37" t="s">
        <v>792</v>
      </c>
      <c r="D2539" s="35" t="s">
        <v>750</v>
      </c>
    </row>
    <row r="2540" spans="3:4" hidden="1" outlineLevel="1" x14ac:dyDescent="0.3">
      <c r="C2540" s="37" t="s">
        <v>793</v>
      </c>
      <c r="D2540" s="35" t="s">
        <v>751</v>
      </c>
    </row>
    <row r="2541" spans="3:4" hidden="1" outlineLevel="1" x14ac:dyDescent="0.3">
      <c r="C2541" s="37" t="s">
        <v>794</v>
      </c>
      <c r="D2541" s="35" t="s">
        <v>752</v>
      </c>
    </row>
    <row r="2542" spans="3:4" hidden="1" outlineLevel="1" x14ac:dyDescent="0.3">
      <c r="C2542" s="37" t="s">
        <v>795</v>
      </c>
      <c r="D2542" s="35" t="s">
        <v>753</v>
      </c>
    </row>
    <row r="2543" spans="3:4" hidden="1" outlineLevel="1" x14ac:dyDescent="0.3">
      <c r="C2543" s="37" t="s">
        <v>796</v>
      </c>
      <c r="D2543" s="35" t="s">
        <v>754</v>
      </c>
    </row>
    <row r="2544" spans="3:4" hidden="1" outlineLevel="1" x14ac:dyDescent="0.3">
      <c r="C2544" s="37" t="s">
        <v>797</v>
      </c>
      <c r="D2544" s="35" t="s">
        <v>755</v>
      </c>
    </row>
    <row r="2545" spans="3:4" hidden="1" outlineLevel="1" x14ac:dyDescent="0.3">
      <c r="C2545" s="37" t="s">
        <v>798</v>
      </c>
      <c r="D2545" s="35" t="s">
        <v>756</v>
      </c>
    </row>
    <row r="2546" spans="3:4" hidden="1" outlineLevel="1" x14ac:dyDescent="0.3">
      <c r="C2546" s="37" t="s">
        <v>799</v>
      </c>
      <c r="D2546" s="35" t="s">
        <v>757</v>
      </c>
    </row>
    <row r="2547" spans="3:4" hidden="1" outlineLevel="1" x14ac:dyDescent="0.3">
      <c r="C2547" s="37" t="s">
        <v>800</v>
      </c>
      <c r="D2547" s="35" t="s">
        <v>758</v>
      </c>
    </row>
    <row r="2548" spans="3:4" hidden="1" outlineLevel="1" x14ac:dyDescent="0.3">
      <c r="C2548" s="37" t="s">
        <v>801</v>
      </c>
      <c r="D2548" s="35" t="s">
        <v>759</v>
      </c>
    </row>
    <row r="2549" spans="3:4" hidden="1" outlineLevel="1" x14ac:dyDescent="0.3">
      <c r="C2549" s="37" t="s">
        <v>802</v>
      </c>
      <c r="D2549" s="35" t="s">
        <v>760</v>
      </c>
    </row>
    <row r="2550" spans="3:4" hidden="1" outlineLevel="1" x14ac:dyDescent="0.3">
      <c r="C2550" s="37" t="s">
        <v>803</v>
      </c>
      <c r="D2550" s="35" t="s">
        <v>761</v>
      </c>
    </row>
    <row r="2551" spans="3:4" hidden="1" outlineLevel="1" x14ac:dyDescent="0.3">
      <c r="C2551" s="37" t="s">
        <v>804</v>
      </c>
      <c r="D2551" s="35" t="s">
        <v>762</v>
      </c>
    </row>
    <row r="2552" spans="3:4" hidden="1" outlineLevel="1" x14ac:dyDescent="0.3">
      <c r="C2552" s="37" t="s">
        <v>805</v>
      </c>
      <c r="D2552" s="35" t="s">
        <v>763</v>
      </c>
    </row>
    <row r="2553" spans="3:4" hidden="1" outlineLevel="1" x14ac:dyDescent="0.3">
      <c r="C2553" s="37" t="s">
        <v>806</v>
      </c>
      <c r="D2553" s="35" t="s">
        <v>764</v>
      </c>
    </row>
    <row r="2554" spans="3:4" hidden="1" outlineLevel="1" x14ac:dyDescent="0.3">
      <c r="C2554" s="37" t="s">
        <v>807</v>
      </c>
      <c r="D2554" s="35" t="s">
        <v>765</v>
      </c>
    </row>
    <row r="2555" spans="3:4" hidden="1" outlineLevel="1" x14ac:dyDescent="0.3">
      <c r="C2555" s="37" t="s">
        <v>808</v>
      </c>
      <c r="D2555" s="35" t="s">
        <v>766</v>
      </c>
    </row>
    <row r="2556" spans="3:4" hidden="1" outlineLevel="1" x14ac:dyDescent="0.3">
      <c r="C2556" s="37" t="s">
        <v>809</v>
      </c>
      <c r="D2556" s="35" t="s">
        <v>767</v>
      </c>
    </row>
    <row r="2557" spans="3:4" hidden="1" outlineLevel="1" x14ac:dyDescent="0.3">
      <c r="C2557" s="37" t="s">
        <v>810</v>
      </c>
      <c r="D2557" s="35" t="s">
        <v>768</v>
      </c>
    </row>
    <row r="2558" spans="3:4" hidden="1" outlineLevel="1" x14ac:dyDescent="0.3">
      <c r="C2558" s="37" t="s">
        <v>811</v>
      </c>
      <c r="D2558" s="35" t="s">
        <v>769</v>
      </c>
    </row>
    <row r="2559" spans="3:4" hidden="1" outlineLevel="1" x14ac:dyDescent="0.3">
      <c r="C2559" s="37" t="s">
        <v>812</v>
      </c>
      <c r="D2559" s="35" t="s">
        <v>770</v>
      </c>
    </row>
    <row r="2560" spans="3:4" hidden="1" outlineLevel="1" x14ac:dyDescent="0.3">
      <c r="C2560" s="37" t="s">
        <v>813</v>
      </c>
      <c r="D2560" s="35" t="s">
        <v>771</v>
      </c>
    </row>
    <row r="2561" spans="2:4" hidden="1" outlineLevel="1" x14ac:dyDescent="0.3">
      <c r="C2561" s="37" t="s">
        <v>814</v>
      </c>
      <c r="D2561" s="35" t="s">
        <v>772</v>
      </c>
    </row>
    <row r="2562" spans="2:4" hidden="1" outlineLevel="1" x14ac:dyDescent="0.3">
      <c r="C2562" s="37" t="s">
        <v>815</v>
      </c>
      <c r="D2562" s="35" t="s">
        <v>773</v>
      </c>
    </row>
    <row r="2563" spans="2:4" hidden="1" outlineLevel="1" x14ac:dyDescent="0.3">
      <c r="C2563" s="37" t="s">
        <v>816</v>
      </c>
      <c r="D2563" s="35" t="s">
        <v>774</v>
      </c>
    </row>
    <row r="2564" spans="2:4" hidden="1" outlineLevel="1" x14ac:dyDescent="0.3">
      <c r="C2564" s="37" t="s">
        <v>817</v>
      </c>
      <c r="D2564" s="35" t="s">
        <v>775</v>
      </c>
    </row>
    <row r="2565" spans="2:4" hidden="1" outlineLevel="1" x14ac:dyDescent="0.3">
      <c r="C2565" s="37" t="s">
        <v>818</v>
      </c>
      <c r="D2565" s="35" t="s">
        <v>776</v>
      </c>
    </row>
    <row r="2566" spans="2:4" hidden="1" outlineLevel="1" x14ac:dyDescent="0.3">
      <c r="C2566" s="37" t="s">
        <v>819</v>
      </c>
      <c r="D2566" s="35" t="s">
        <v>777</v>
      </c>
    </row>
    <row r="2567" spans="2:4" collapsed="1" x14ac:dyDescent="0.3">
      <c r="B2567" s="43" t="s">
        <v>357</v>
      </c>
      <c r="C2567" t="s">
        <v>249</v>
      </c>
    </row>
    <row r="2568" spans="2:4" hidden="1" outlineLevel="1" x14ac:dyDescent="0.3">
      <c r="C2568" s="40" t="s">
        <v>779</v>
      </c>
      <c r="D2568" s="35" t="s">
        <v>745</v>
      </c>
    </row>
    <row r="2569" spans="2:4" hidden="1" outlineLevel="1" x14ac:dyDescent="0.3">
      <c r="C2569" s="41" t="s">
        <v>780</v>
      </c>
      <c r="D2569" s="42" t="s">
        <v>820</v>
      </c>
    </row>
    <row r="2570" spans="2:4" hidden="1" outlineLevel="1" x14ac:dyDescent="0.3">
      <c r="C2570" s="40" t="s">
        <v>781</v>
      </c>
      <c r="D2570" s="35" t="s">
        <v>746</v>
      </c>
    </row>
    <row r="2571" spans="2:4" hidden="1" outlineLevel="1" x14ac:dyDescent="0.3">
      <c r="C2571" s="41" t="s">
        <v>782</v>
      </c>
      <c r="D2571" s="35" t="s">
        <v>367</v>
      </c>
    </row>
    <row r="2572" spans="2:4" hidden="1" outlineLevel="1" x14ac:dyDescent="0.3">
      <c r="C2572" s="41" t="s">
        <v>785</v>
      </c>
      <c r="D2572" s="35" t="s">
        <v>68</v>
      </c>
    </row>
    <row r="2573" spans="2:4" hidden="1" outlineLevel="1" x14ac:dyDescent="0.3">
      <c r="C2573" s="41" t="s">
        <v>786</v>
      </c>
      <c r="D2573" s="35" t="s">
        <v>747</v>
      </c>
    </row>
    <row r="2574" spans="2:4" hidden="1" outlineLevel="1" x14ac:dyDescent="0.3">
      <c r="C2574" s="41" t="s">
        <v>783</v>
      </c>
      <c r="D2574" s="35" t="s">
        <v>11</v>
      </c>
    </row>
    <row r="2575" spans="2:4" hidden="1" outlineLevel="1" x14ac:dyDescent="0.3">
      <c r="C2575" s="41" t="s">
        <v>784</v>
      </c>
      <c r="D2575" s="35" t="s">
        <v>125</v>
      </c>
    </row>
    <row r="2576" spans="2:4" hidden="1" outlineLevel="1" x14ac:dyDescent="0.3">
      <c r="C2576" s="41" t="s">
        <v>787</v>
      </c>
      <c r="D2576" s="35" t="s">
        <v>748</v>
      </c>
    </row>
    <row r="2577" spans="3:4" hidden="1" outlineLevel="1" x14ac:dyDescent="0.3">
      <c r="C2577" s="37" t="s">
        <v>788</v>
      </c>
      <c r="D2577" s="35" t="s">
        <v>517</v>
      </c>
    </row>
    <row r="2578" spans="3:4" hidden="1" outlineLevel="1" x14ac:dyDescent="0.3">
      <c r="C2578" s="37" t="s">
        <v>789</v>
      </c>
      <c r="D2578" s="35" t="s">
        <v>386</v>
      </c>
    </row>
    <row r="2579" spans="3:4" hidden="1" outlineLevel="1" x14ac:dyDescent="0.3">
      <c r="C2579" s="37" t="s">
        <v>790</v>
      </c>
      <c r="D2579" s="35" t="s">
        <v>299</v>
      </c>
    </row>
    <row r="2580" spans="3:4" hidden="1" outlineLevel="1" x14ac:dyDescent="0.3">
      <c r="C2580" s="37" t="s">
        <v>791</v>
      </c>
      <c r="D2580" s="35" t="s">
        <v>749</v>
      </c>
    </row>
    <row r="2581" spans="3:4" hidden="1" outlineLevel="1" x14ac:dyDescent="0.3">
      <c r="C2581" s="37" t="s">
        <v>792</v>
      </c>
      <c r="D2581" s="35" t="s">
        <v>750</v>
      </c>
    </row>
    <row r="2582" spans="3:4" hidden="1" outlineLevel="1" x14ac:dyDescent="0.3">
      <c r="C2582" s="37" t="s">
        <v>793</v>
      </c>
      <c r="D2582" s="35" t="s">
        <v>751</v>
      </c>
    </row>
    <row r="2583" spans="3:4" hidden="1" outlineLevel="1" x14ac:dyDescent="0.3">
      <c r="C2583" s="37" t="s">
        <v>794</v>
      </c>
      <c r="D2583" s="35" t="s">
        <v>752</v>
      </c>
    </row>
    <row r="2584" spans="3:4" hidden="1" outlineLevel="1" x14ac:dyDescent="0.3">
      <c r="C2584" s="37" t="s">
        <v>795</v>
      </c>
      <c r="D2584" s="35" t="s">
        <v>753</v>
      </c>
    </row>
    <row r="2585" spans="3:4" hidden="1" outlineLevel="1" x14ac:dyDescent="0.3">
      <c r="C2585" s="37" t="s">
        <v>796</v>
      </c>
      <c r="D2585" s="35" t="s">
        <v>754</v>
      </c>
    </row>
    <row r="2586" spans="3:4" hidden="1" outlineLevel="1" x14ac:dyDescent="0.3">
      <c r="C2586" s="37" t="s">
        <v>797</v>
      </c>
      <c r="D2586" s="35" t="s">
        <v>755</v>
      </c>
    </row>
    <row r="2587" spans="3:4" hidden="1" outlineLevel="1" x14ac:dyDescent="0.3">
      <c r="C2587" s="37" t="s">
        <v>798</v>
      </c>
      <c r="D2587" s="35" t="s">
        <v>756</v>
      </c>
    </row>
    <row r="2588" spans="3:4" hidden="1" outlineLevel="1" x14ac:dyDescent="0.3">
      <c r="C2588" s="37" t="s">
        <v>799</v>
      </c>
      <c r="D2588" s="35" t="s">
        <v>757</v>
      </c>
    </row>
    <row r="2589" spans="3:4" hidden="1" outlineLevel="1" x14ac:dyDescent="0.3">
      <c r="C2589" s="37" t="s">
        <v>800</v>
      </c>
      <c r="D2589" s="35" t="s">
        <v>758</v>
      </c>
    </row>
    <row r="2590" spans="3:4" hidden="1" outlineLevel="1" x14ac:dyDescent="0.3">
      <c r="C2590" s="37" t="s">
        <v>801</v>
      </c>
      <c r="D2590" s="35" t="s">
        <v>759</v>
      </c>
    </row>
    <row r="2591" spans="3:4" hidden="1" outlineLevel="1" x14ac:dyDescent="0.3">
      <c r="C2591" s="37" t="s">
        <v>802</v>
      </c>
      <c r="D2591" s="35" t="s">
        <v>760</v>
      </c>
    </row>
    <row r="2592" spans="3:4" hidden="1" outlineLevel="1" x14ac:dyDescent="0.3">
      <c r="C2592" s="37" t="s">
        <v>803</v>
      </c>
      <c r="D2592" s="35" t="s">
        <v>761</v>
      </c>
    </row>
    <row r="2593" spans="3:4" hidden="1" outlineLevel="1" x14ac:dyDescent="0.3">
      <c r="C2593" s="37" t="s">
        <v>804</v>
      </c>
      <c r="D2593" s="35" t="s">
        <v>762</v>
      </c>
    </row>
    <row r="2594" spans="3:4" hidden="1" outlineLevel="1" x14ac:dyDescent="0.3">
      <c r="C2594" s="37" t="s">
        <v>805</v>
      </c>
      <c r="D2594" s="35" t="s">
        <v>763</v>
      </c>
    </row>
    <row r="2595" spans="3:4" hidden="1" outlineLevel="1" x14ac:dyDescent="0.3">
      <c r="C2595" s="37" t="s">
        <v>806</v>
      </c>
      <c r="D2595" s="35" t="s">
        <v>764</v>
      </c>
    </row>
    <row r="2596" spans="3:4" hidden="1" outlineLevel="1" x14ac:dyDescent="0.3">
      <c r="C2596" s="37" t="s">
        <v>807</v>
      </c>
      <c r="D2596" s="35" t="s">
        <v>765</v>
      </c>
    </row>
    <row r="2597" spans="3:4" hidden="1" outlineLevel="1" x14ac:dyDescent="0.3">
      <c r="C2597" s="37" t="s">
        <v>808</v>
      </c>
      <c r="D2597" s="35" t="s">
        <v>766</v>
      </c>
    </row>
    <row r="2598" spans="3:4" hidden="1" outlineLevel="1" x14ac:dyDescent="0.3">
      <c r="C2598" s="37" t="s">
        <v>809</v>
      </c>
      <c r="D2598" s="35" t="s">
        <v>767</v>
      </c>
    </row>
    <row r="2599" spans="3:4" hidden="1" outlineLevel="1" x14ac:dyDescent="0.3">
      <c r="C2599" s="37" t="s">
        <v>810</v>
      </c>
      <c r="D2599" s="35" t="s">
        <v>768</v>
      </c>
    </row>
    <row r="2600" spans="3:4" hidden="1" outlineLevel="1" x14ac:dyDescent="0.3">
      <c r="C2600" s="37" t="s">
        <v>811</v>
      </c>
      <c r="D2600" s="35" t="s">
        <v>769</v>
      </c>
    </row>
    <row r="2601" spans="3:4" hidden="1" outlineLevel="1" x14ac:dyDescent="0.3">
      <c r="C2601" s="37" t="s">
        <v>812</v>
      </c>
      <c r="D2601" s="35" t="s">
        <v>770</v>
      </c>
    </row>
    <row r="2602" spans="3:4" hidden="1" outlineLevel="1" x14ac:dyDescent="0.3">
      <c r="C2602" s="37" t="s">
        <v>813</v>
      </c>
      <c r="D2602" s="35" t="s">
        <v>771</v>
      </c>
    </row>
    <row r="2603" spans="3:4" hidden="1" outlineLevel="1" x14ac:dyDescent="0.3">
      <c r="C2603" s="37" t="s">
        <v>814</v>
      </c>
      <c r="D2603" s="35" t="s">
        <v>772</v>
      </c>
    </row>
    <row r="2604" spans="3:4" hidden="1" outlineLevel="1" x14ac:dyDescent="0.3">
      <c r="C2604" s="37" t="s">
        <v>815</v>
      </c>
      <c r="D2604" s="35" t="s">
        <v>773</v>
      </c>
    </row>
    <row r="2605" spans="3:4" hidden="1" outlineLevel="1" x14ac:dyDescent="0.3">
      <c r="C2605" s="37" t="s">
        <v>816</v>
      </c>
      <c r="D2605" s="35" t="s">
        <v>774</v>
      </c>
    </row>
    <row r="2606" spans="3:4" hidden="1" outlineLevel="1" x14ac:dyDescent="0.3">
      <c r="C2606" s="37" t="s">
        <v>817</v>
      </c>
      <c r="D2606" s="35" t="s">
        <v>775</v>
      </c>
    </row>
    <row r="2607" spans="3:4" hidden="1" outlineLevel="1" x14ac:dyDescent="0.3">
      <c r="C2607" s="37" t="s">
        <v>818</v>
      </c>
      <c r="D2607" s="35" t="s">
        <v>776</v>
      </c>
    </row>
    <row r="2608" spans="3:4" hidden="1" outlineLevel="1" x14ac:dyDescent="0.3">
      <c r="C2608" s="37" t="s">
        <v>819</v>
      </c>
      <c r="D2608" s="35" t="s">
        <v>777</v>
      </c>
    </row>
    <row r="2609" spans="2:4" collapsed="1" x14ac:dyDescent="0.3">
      <c r="B2609" s="43" t="s">
        <v>379</v>
      </c>
      <c r="C2609" t="s">
        <v>249</v>
      </c>
    </row>
    <row r="2610" spans="2:4" hidden="1" outlineLevel="1" x14ac:dyDescent="0.3">
      <c r="C2610" s="40" t="s">
        <v>779</v>
      </c>
      <c r="D2610" s="35" t="s">
        <v>745</v>
      </c>
    </row>
    <row r="2611" spans="2:4" hidden="1" outlineLevel="1" x14ac:dyDescent="0.3">
      <c r="C2611" s="41" t="s">
        <v>780</v>
      </c>
      <c r="D2611" s="42" t="s">
        <v>820</v>
      </c>
    </row>
    <row r="2612" spans="2:4" hidden="1" outlineLevel="1" x14ac:dyDescent="0.3">
      <c r="C2612" s="40" t="s">
        <v>781</v>
      </c>
      <c r="D2612" s="35" t="s">
        <v>746</v>
      </c>
    </row>
    <row r="2613" spans="2:4" hidden="1" outlineLevel="1" x14ac:dyDescent="0.3">
      <c r="C2613" s="41" t="s">
        <v>782</v>
      </c>
      <c r="D2613" s="35" t="s">
        <v>367</v>
      </c>
    </row>
    <row r="2614" spans="2:4" hidden="1" outlineLevel="1" x14ac:dyDescent="0.3">
      <c r="C2614" s="41" t="s">
        <v>785</v>
      </c>
      <c r="D2614" s="35" t="s">
        <v>68</v>
      </c>
    </row>
    <row r="2615" spans="2:4" hidden="1" outlineLevel="1" x14ac:dyDescent="0.3">
      <c r="C2615" s="41" t="s">
        <v>786</v>
      </c>
      <c r="D2615" s="35" t="s">
        <v>747</v>
      </c>
    </row>
    <row r="2616" spans="2:4" hidden="1" outlineLevel="1" x14ac:dyDescent="0.3">
      <c r="C2616" s="41" t="s">
        <v>783</v>
      </c>
      <c r="D2616" s="35" t="s">
        <v>11</v>
      </c>
    </row>
    <row r="2617" spans="2:4" hidden="1" outlineLevel="1" x14ac:dyDescent="0.3">
      <c r="C2617" s="41" t="s">
        <v>784</v>
      </c>
      <c r="D2617" s="35" t="s">
        <v>125</v>
      </c>
    </row>
    <row r="2618" spans="2:4" hidden="1" outlineLevel="1" x14ac:dyDescent="0.3">
      <c r="C2618" s="41" t="s">
        <v>787</v>
      </c>
      <c r="D2618" s="35" t="s">
        <v>748</v>
      </c>
    </row>
    <row r="2619" spans="2:4" hidden="1" outlineLevel="1" x14ac:dyDescent="0.3">
      <c r="C2619" s="37" t="s">
        <v>788</v>
      </c>
      <c r="D2619" s="35" t="s">
        <v>517</v>
      </c>
    </row>
    <row r="2620" spans="2:4" hidden="1" outlineLevel="1" x14ac:dyDescent="0.3">
      <c r="C2620" s="37" t="s">
        <v>789</v>
      </c>
      <c r="D2620" s="35" t="s">
        <v>386</v>
      </c>
    </row>
    <row r="2621" spans="2:4" hidden="1" outlineLevel="1" x14ac:dyDescent="0.3">
      <c r="C2621" s="37" t="s">
        <v>790</v>
      </c>
      <c r="D2621" s="35" t="s">
        <v>299</v>
      </c>
    </row>
    <row r="2622" spans="2:4" hidden="1" outlineLevel="1" x14ac:dyDescent="0.3">
      <c r="C2622" s="37" t="s">
        <v>791</v>
      </c>
      <c r="D2622" s="35" t="s">
        <v>749</v>
      </c>
    </row>
    <row r="2623" spans="2:4" hidden="1" outlineLevel="1" x14ac:dyDescent="0.3">
      <c r="C2623" s="37" t="s">
        <v>792</v>
      </c>
      <c r="D2623" s="35" t="s">
        <v>750</v>
      </c>
    </row>
    <row r="2624" spans="2:4" hidden="1" outlineLevel="1" x14ac:dyDescent="0.3">
      <c r="C2624" s="37" t="s">
        <v>793</v>
      </c>
      <c r="D2624" s="35" t="s">
        <v>751</v>
      </c>
    </row>
    <row r="2625" spans="3:4" hidden="1" outlineLevel="1" x14ac:dyDescent="0.3">
      <c r="C2625" s="37" t="s">
        <v>794</v>
      </c>
      <c r="D2625" s="35" t="s">
        <v>752</v>
      </c>
    </row>
    <row r="2626" spans="3:4" hidden="1" outlineLevel="1" x14ac:dyDescent="0.3">
      <c r="C2626" s="37" t="s">
        <v>795</v>
      </c>
      <c r="D2626" s="35" t="s">
        <v>753</v>
      </c>
    </row>
    <row r="2627" spans="3:4" hidden="1" outlineLevel="1" x14ac:dyDescent="0.3">
      <c r="C2627" s="37" t="s">
        <v>796</v>
      </c>
      <c r="D2627" s="35" t="s">
        <v>754</v>
      </c>
    </row>
    <row r="2628" spans="3:4" hidden="1" outlineLevel="1" x14ac:dyDescent="0.3">
      <c r="C2628" s="37" t="s">
        <v>797</v>
      </c>
      <c r="D2628" s="35" t="s">
        <v>755</v>
      </c>
    </row>
    <row r="2629" spans="3:4" hidden="1" outlineLevel="1" x14ac:dyDescent="0.3">
      <c r="C2629" s="37" t="s">
        <v>798</v>
      </c>
      <c r="D2629" s="35" t="s">
        <v>756</v>
      </c>
    </row>
    <row r="2630" spans="3:4" hidden="1" outlineLevel="1" x14ac:dyDescent="0.3">
      <c r="C2630" s="37" t="s">
        <v>799</v>
      </c>
      <c r="D2630" s="35" t="s">
        <v>757</v>
      </c>
    </row>
    <row r="2631" spans="3:4" hidden="1" outlineLevel="1" x14ac:dyDescent="0.3">
      <c r="C2631" s="37" t="s">
        <v>800</v>
      </c>
      <c r="D2631" s="35" t="s">
        <v>758</v>
      </c>
    </row>
    <row r="2632" spans="3:4" hidden="1" outlineLevel="1" x14ac:dyDescent="0.3">
      <c r="C2632" s="37" t="s">
        <v>801</v>
      </c>
      <c r="D2632" s="35" t="s">
        <v>759</v>
      </c>
    </row>
    <row r="2633" spans="3:4" hidden="1" outlineLevel="1" x14ac:dyDescent="0.3">
      <c r="C2633" s="37" t="s">
        <v>802</v>
      </c>
      <c r="D2633" s="35" t="s">
        <v>760</v>
      </c>
    </row>
    <row r="2634" spans="3:4" hidden="1" outlineLevel="1" x14ac:dyDescent="0.3">
      <c r="C2634" s="37" t="s">
        <v>803</v>
      </c>
      <c r="D2634" s="35" t="s">
        <v>761</v>
      </c>
    </row>
    <row r="2635" spans="3:4" hidden="1" outlineLevel="1" x14ac:dyDescent="0.3">
      <c r="C2635" s="37" t="s">
        <v>804</v>
      </c>
      <c r="D2635" s="35" t="s">
        <v>762</v>
      </c>
    </row>
    <row r="2636" spans="3:4" hidden="1" outlineLevel="1" x14ac:dyDescent="0.3">
      <c r="C2636" s="37" t="s">
        <v>805</v>
      </c>
      <c r="D2636" s="35" t="s">
        <v>763</v>
      </c>
    </row>
    <row r="2637" spans="3:4" hidden="1" outlineLevel="1" x14ac:dyDescent="0.3">
      <c r="C2637" s="37" t="s">
        <v>806</v>
      </c>
      <c r="D2637" s="35" t="s">
        <v>764</v>
      </c>
    </row>
    <row r="2638" spans="3:4" hidden="1" outlineLevel="1" x14ac:dyDescent="0.3">
      <c r="C2638" s="37" t="s">
        <v>807</v>
      </c>
      <c r="D2638" s="35" t="s">
        <v>765</v>
      </c>
    </row>
    <row r="2639" spans="3:4" hidden="1" outlineLevel="1" x14ac:dyDescent="0.3">
      <c r="C2639" s="37" t="s">
        <v>808</v>
      </c>
      <c r="D2639" s="35" t="s">
        <v>766</v>
      </c>
    </row>
    <row r="2640" spans="3:4" hidden="1" outlineLevel="1" x14ac:dyDescent="0.3">
      <c r="C2640" s="37" t="s">
        <v>809</v>
      </c>
      <c r="D2640" s="35" t="s">
        <v>767</v>
      </c>
    </row>
    <row r="2641" spans="2:4" hidden="1" outlineLevel="1" x14ac:dyDescent="0.3">
      <c r="C2641" s="37" t="s">
        <v>810</v>
      </c>
      <c r="D2641" s="35" t="s">
        <v>768</v>
      </c>
    </row>
    <row r="2642" spans="2:4" hidden="1" outlineLevel="1" x14ac:dyDescent="0.3">
      <c r="C2642" s="37" t="s">
        <v>811</v>
      </c>
      <c r="D2642" s="35" t="s">
        <v>769</v>
      </c>
    </row>
    <row r="2643" spans="2:4" hidden="1" outlineLevel="1" x14ac:dyDescent="0.3">
      <c r="C2643" s="37" t="s">
        <v>812</v>
      </c>
      <c r="D2643" s="35" t="s">
        <v>770</v>
      </c>
    </row>
    <row r="2644" spans="2:4" hidden="1" outlineLevel="1" x14ac:dyDescent="0.3">
      <c r="C2644" s="37" t="s">
        <v>813</v>
      </c>
      <c r="D2644" s="35" t="s">
        <v>771</v>
      </c>
    </row>
    <row r="2645" spans="2:4" hidden="1" outlineLevel="1" x14ac:dyDescent="0.3">
      <c r="C2645" s="37" t="s">
        <v>814</v>
      </c>
      <c r="D2645" s="35" t="s">
        <v>772</v>
      </c>
    </row>
    <row r="2646" spans="2:4" hidden="1" outlineLevel="1" x14ac:dyDescent="0.3">
      <c r="C2646" s="37" t="s">
        <v>815</v>
      </c>
      <c r="D2646" s="35" t="s">
        <v>773</v>
      </c>
    </row>
    <row r="2647" spans="2:4" hidden="1" outlineLevel="1" x14ac:dyDescent="0.3">
      <c r="C2647" s="37" t="s">
        <v>816</v>
      </c>
      <c r="D2647" s="35" t="s">
        <v>774</v>
      </c>
    </row>
    <row r="2648" spans="2:4" hidden="1" outlineLevel="1" x14ac:dyDescent="0.3">
      <c r="C2648" s="37" t="s">
        <v>817</v>
      </c>
      <c r="D2648" s="35" t="s">
        <v>775</v>
      </c>
    </row>
    <row r="2649" spans="2:4" hidden="1" outlineLevel="1" x14ac:dyDescent="0.3">
      <c r="C2649" s="37" t="s">
        <v>818</v>
      </c>
      <c r="D2649" s="35" t="s">
        <v>776</v>
      </c>
    </row>
    <row r="2650" spans="2:4" hidden="1" outlineLevel="1" x14ac:dyDescent="0.3">
      <c r="C2650" s="37" t="s">
        <v>819</v>
      </c>
      <c r="D2650" s="35" t="s">
        <v>777</v>
      </c>
    </row>
    <row r="2651" spans="2:4" collapsed="1" x14ac:dyDescent="0.3">
      <c r="B2651" s="43" t="s">
        <v>457</v>
      </c>
      <c r="C2651" t="s">
        <v>249</v>
      </c>
    </row>
    <row r="2652" spans="2:4" hidden="1" outlineLevel="1" x14ac:dyDescent="0.3">
      <c r="C2652" s="40" t="s">
        <v>779</v>
      </c>
      <c r="D2652" s="35" t="s">
        <v>745</v>
      </c>
    </row>
    <row r="2653" spans="2:4" hidden="1" outlineLevel="1" x14ac:dyDescent="0.3">
      <c r="C2653" s="41" t="s">
        <v>780</v>
      </c>
      <c r="D2653" s="42" t="s">
        <v>820</v>
      </c>
    </row>
    <row r="2654" spans="2:4" hidden="1" outlineLevel="1" x14ac:dyDescent="0.3">
      <c r="C2654" s="40" t="s">
        <v>781</v>
      </c>
      <c r="D2654" s="35" t="s">
        <v>746</v>
      </c>
    </row>
    <row r="2655" spans="2:4" hidden="1" outlineLevel="1" x14ac:dyDescent="0.3">
      <c r="C2655" s="41" t="s">
        <v>782</v>
      </c>
      <c r="D2655" s="35" t="s">
        <v>367</v>
      </c>
    </row>
    <row r="2656" spans="2:4" hidden="1" outlineLevel="1" x14ac:dyDescent="0.3">
      <c r="C2656" s="41" t="s">
        <v>785</v>
      </c>
      <c r="D2656" s="35" t="s">
        <v>68</v>
      </c>
    </row>
    <row r="2657" spans="3:4" hidden="1" outlineLevel="1" x14ac:dyDescent="0.3">
      <c r="C2657" s="41" t="s">
        <v>786</v>
      </c>
      <c r="D2657" s="35" t="s">
        <v>747</v>
      </c>
    </row>
    <row r="2658" spans="3:4" hidden="1" outlineLevel="1" x14ac:dyDescent="0.3">
      <c r="C2658" s="41" t="s">
        <v>783</v>
      </c>
      <c r="D2658" s="35" t="s">
        <v>11</v>
      </c>
    </row>
    <row r="2659" spans="3:4" hidden="1" outlineLevel="1" x14ac:dyDescent="0.3">
      <c r="C2659" s="41" t="s">
        <v>784</v>
      </c>
      <c r="D2659" s="35" t="s">
        <v>125</v>
      </c>
    </row>
    <row r="2660" spans="3:4" hidden="1" outlineLevel="1" x14ac:dyDescent="0.3">
      <c r="C2660" s="41" t="s">
        <v>787</v>
      </c>
      <c r="D2660" s="35" t="s">
        <v>748</v>
      </c>
    </row>
    <row r="2661" spans="3:4" hidden="1" outlineLevel="1" x14ac:dyDescent="0.3">
      <c r="C2661" s="37" t="s">
        <v>788</v>
      </c>
      <c r="D2661" s="35" t="s">
        <v>517</v>
      </c>
    </row>
    <row r="2662" spans="3:4" hidden="1" outlineLevel="1" x14ac:dyDescent="0.3">
      <c r="C2662" s="37" t="s">
        <v>789</v>
      </c>
      <c r="D2662" s="35" t="s">
        <v>386</v>
      </c>
    </row>
    <row r="2663" spans="3:4" hidden="1" outlineLevel="1" x14ac:dyDescent="0.3">
      <c r="C2663" s="37" t="s">
        <v>790</v>
      </c>
      <c r="D2663" s="35" t="s">
        <v>299</v>
      </c>
    </row>
    <row r="2664" spans="3:4" hidden="1" outlineLevel="1" x14ac:dyDescent="0.3">
      <c r="C2664" s="37" t="s">
        <v>791</v>
      </c>
      <c r="D2664" s="35" t="s">
        <v>749</v>
      </c>
    </row>
    <row r="2665" spans="3:4" hidden="1" outlineLevel="1" x14ac:dyDescent="0.3">
      <c r="C2665" s="37" t="s">
        <v>792</v>
      </c>
      <c r="D2665" s="35" t="s">
        <v>750</v>
      </c>
    </row>
    <row r="2666" spans="3:4" hidden="1" outlineLevel="1" x14ac:dyDescent="0.3">
      <c r="C2666" s="37" t="s">
        <v>793</v>
      </c>
      <c r="D2666" s="35" t="s">
        <v>751</v>
      </c>
    </row>
    <row r="2667" spans="3:4" hidden="1" outlineLevel="1" x14ac:dyDescent="0.3">
      <c r="C2667" s="37" t="s">
        <v>794</v>
      </c>
      <c r="D2667" s="35" t="s">
        <v>752</v>
      </c>
    </row>
    <row r="2668" spans="3:4" hidden="1" outlineLevel="1" x14ac:dyDescent="0.3">
      <c r="C2668" s="37" t="s">
        <v>795</v>
      </c>
      <c r="D2668" s="35" t="s">
        <v>753</v>
      </c>
    </row>
    <row r="2669" spans="3:4" hidden="1" outlineLevel="1" x14ac:dyDescent="0.3">
      <c r="C2669" s="37" t="s">
        <v>796</v>
      </c>
      <c r="D2669" s="35" t="s">
        <v>754</v>
      </c>
    </row>
    <row r="2670" spans="3:4" hidden="1" outlineLevel="1" x14ac:dyDescent="0.3">
      <c r="C2670" s="37" t="s">
        <v>797</v>
      </c>
      <c r="D2670" s="35" t="s">
        <v>755</v>
      </c>
    </row>
    <row r="2671" spans="3:4" hidden="1" outlineLevel="1" x14ac:dyDescent="0.3">
      <c r="C2671" s="37" t="s">
        <v>798</v>
      </c>
      <c r="D2671" s="35" t="s">
        <v>756</v>
      </c>
    </row>
    <row r="2672" spans="3:4" hidden="1" outlineLevel="1" x14ac:dyDescent="0.3">
      <c r="C2672" s="37" t="s">
        <v>799</v>
      </c>
      <c r="D2672" s="35" t="s">
        <v>757</v>
      </c>
    </row>
    <row r="2673" spans="3:4" hidden="1" outlineLevel="1" x14ac:dyDescent="0.3">
      <c r="C2673" s="37" t="s">
        <v>800</v>
      </c>
      <c r="D2673" s="35" t="s">
        <v>758</v>
      </c>
    </row>
    <row r="2674" spans="3:4" hidden="1" outlineLevel="1" x14ac:dyDescent="0.3">
      <c r="C2674" s="37" t="s">
        <v>801</v>
      </c>
      <c r="D2674" s="35" t="s">
        <v>759</v>
      </c>
    </row>
    <row r="2675" spans="3:4" hidden="1" outlineLevel="1" x14ac:dyDescent="0.3">
      <c r="C2675" s="37" t="s">
        <v>802</v>
      </c>
      <c r="D2675" s="35" t="s">
        <v>760</v>
      </c>
    </row>
    <row r="2676" spans="3:4" hidden="1" outlineLevel="1" x14ac:dyDescent="0.3">
      <c r="C2676" s="37" t="s">
        <v>803</v>
      </c>
      <c r="D2676" s="35" t="s">
        <v>761</v>
      </c>
    </row>
    <row r="2677" spans="3:4" hidden="1" outlineLevel="1" x14ac:dyDescent="0.3">
      <c r="C2677" s="37" t="s">
        <v>804</v>
      </c>
      <c r="D2677" s="35" t="s">
        <v>762</v>
      </c>
    </row>
    <row r="2678" spans="3:4" hidden="1" outlineLevel="1" x14ac:dyDescent="0.3">
      <c r="C2678" s="37" t="s">
        <v>805</v>
      </c>
      <c r="D2678" s="35" t="s">
        <v>763</v>
      </c>
    </row>
    <row r="2679" spans="3:4" hidden="1" outlineLevel="1" x14ac:dyDescent="0.3">
      <c r="C2679" s="37" t="s">
        <v>806</v>
      </c>
      <c r="D2679" s="35" t="s">
        <v>764</v>
      </c>
    </row>
    <row r="2680" spans="3:4" hidden="1" outlineLevel="1" x14ac:dyDescent="0.3">
      <c r="C2680" s="37" t="s">
        <v>807</v>
      </c>
      <c r="D2680" s="35" t="s">
        <v>765</v>
      </c>
    </row>
    <row r="2681" spans="3:4" hidden="1" outlineLevel="1" x14ac:dyDescent="0.3">
      <c r="C2681" s="37" t="s">
        <v>808</v>
      </c>
      <c r="D2681" s="35" t="s">
        <v>766</v>
      </c>
    </row>
    <row r="2682" spans="3:4" hidden="1" outlineLevel="1" x14ac:dyDescent="0.3">
      <c r="C2682" s="37" t="s">
        <v>809</v>
      </c>
      <c r="D2682" s="35" t="s">
        <v>767</v>
      </c>
    </row>
    <row r="2683" spans="3:4" hidden="1" outlineLevel="1" x14ac:dyDescent="0.3">
      <c r="C2683" s="37" t="s">
        <v>810</v>
      </c>
      <c r="D2683" s="35" t="s">
        <v>768</v>
      </c>
    </row>
    <row r="2684" spans="3:4" hidden="1" outlineLevel="1" x14ac:dyDescent="0.3">
      <c r="C2684" s="37" t="s">
        <v>811</v>
      </c>
      <c r="D2684" s="35" t="s">
        <v>769</v>
      </c>
    </row>
    <row r="2685" spans="3:4" hidden="1" outlineLevel="1" x14ac:dyDescent="0.3">
      <c r="C2685" s="37" t="s">
        <v>812</v>
      </c>
      <c r="D2685" s="35" t="s">
        <v>770</v>
      </c>
    </row>
    <row r="2686" spans="3:4" hidden="1" outlineLevel="1" x14ac:dyDescent="0.3">
      <c r="C2686" s="37" t="s">
        <v>813</v>
      </c>
      <c r="D2686" s="35" t="s">
        <v>771</v>
      </c>
    </row>
    <row r="2687" spans="3:4" hidden="1" outlineLevel="1" x14ac:dyDescent="0.3">
      <c r="C2687" s="37" t="s">
        <v>814</v>
      </c>
      <c r="D2687" s="35" t="s">
        <v>772</v>
      </c>
    </row>
    <row r="2688" spans="3:4" hidden="1" outlineLevel="1" x14ac:dyDescent="0.3">
      <c r="C2688" s="37" t="s">
        <v>815</v>
      </c>
      <c r="D2688" s="35" t="s">
        <v>773</v>
      </c>
    </row>
    <row r="2689" spans="2:4" hidden="1" outlineLevel="1" x14ac:dyDescent="0.3">
      <c r="C2689" s="37" t="s">
        <v>816</v>
      </c>
      <c r="D2689" s="35" t="s">
        <v>774</v>
      </c>
    </row>
    <row r="2690" spans="2:4" hidden="1" outlineLevel="1" x14ac:dyDescent="0.3">
      <c r="C2690" s="37" t="s">
        <v>817</v>
      </c>
      <c r="D2690" s="35" t="s">
        <v>775</v>
      </c>
    </row>
    <row r="2691" spans="2:4" hidden="1" outlineLevel="1" x14ac:dyDescent="0.3">
      <c r="C2691" s="37" t="s">
        <v>818</v>
      </c>
      <c r="D2691" s="35" t="s">
        <v>776</v>
      </c>
    </row>
    <row r="2692" spans="2:4" hidden="1" outlineLevel="1" x14ac:dyDescent="0.3">
      <c r="C2692" s="37" t="s">
        <v>819</v>
      </c>
      <c r="D2692" s="35" t="s">
        <v>777</v>
      </c>
    </row>
    <row r="2693" spans="2:4" collapsed="1" x14ac:dyDescent="0.3">
      <c r="B2693" s="43" t="s">
        <v>383</v>
      </c>
      <c r="C2693" t="s">
        <v>249</v>
      </c>
    </row>
    <row r="2694" spans="2:4" hidden="1" outlineLevel="1" x14ac:dyDescent="0.3">
      <c r="C2694" s="40" t="s">
        <v>779</v>
      </c>
      <c r="D2694" s="35" t="s">
        <v>745</v>
      </c>
    </row>
    <row r="2695" spans="2:4" hidden="1" outlineLevel="1" x14ac:dyDescent="0.3">
      <c r="C2695" s="41" t="s">
        <v>780</v>
      </c>
      <c r="D2695" s="42" t="s">
        <v>820</v>
      </c>
    </row>
    <row r="2696" spans="2:4" hidden="1" outlineLevel="1" x14ac:dyDescent="0.3">
      <c r="C2696" s="40" t="s">
        <v>781</v>
      </c>
      <c r="D2696" s="35" t="s">
        <v>746</v>
      </c>
    </row>
    <row r="2697" spans="2:4" hidden="1" outlineLevel="1" x14ac:dyDescent="0.3">
      <c r="C2697" s="41" t="s">
        <v>782</v>
      </c>
      <c r="D2697" s="35" t="s">
        <v>367</v>
      </c>
    </row>
    <row r="2698" spans="2:4" hidden="1" outlineLevel="1" x14ac:dyDescent="0.3">
      <c r="C2698" s="41" t="s">
        <v>785</v>
      </c>
      <c r="D2698" s="35" t="s">
        <v>68</v>
      </c>
    </row>
    <row r="2699" spans="2:4" hidden="1" outlineLevel="1" x14ac:dyDescent="0.3">
      <c r="C2699" s="41" t="s">
        <v>786</v>
      </c>
      <c r="D2699" s="35" t="s">
        <v>747</v>
      </c>
    </row>
    <row r="2700" spans="2:4" hidden="1" outlineLevel="1" x14ac:dyDescent="0.3">
      <c r="C2700" s="41" t="s">
        <v>783</v>
      </c>
      <c r="D2700" s="35" t="s">
        <v>11</v>
      </c>
    </row>
    <row r="2701" spans="2:4" hidden="1" outlineLevel="1" x14ac:dyDescent="0.3">
      <c r="C2701" s="41" t="s">
        <v>784</v>
      </c>
      <c r="D2701" s="35" t="s">
        <v>125</v>
      </c>
    </row>
    <row r="2702" spans="2:4" hidden="1" outlineLevel="1" x14ac:dyDescent="0.3">
      <c r="C2702" s="41" t="s">
        <v>787</v>
      </c>
      <c r="D2702" s="35" t="s">
        <v>748</v>
      </c>
    </row>
    <row r="2703" spans="2:4" hidden="1" outlineLevel="1" x14ac:dyDescent="0.3">
      <c r="C2703" s="37" t="s">
        <v>788</v>
      </c>
      <c r="D2703" s="35" t="s">
        <v>517</v>
      </c>
    </row>
    <row r="2704" spans="2:4" hidden="1" outlineLevel="1" x14ac:dyDescent="0.3">
      <c r="C2704" s="37" t="s">
        <v>789</v>
      </c>
      <c r="D2704" s="35" t="s">
        <v>386</v>
      </c>
    </row>
    <row r="2705" spans="3:4" hidden="1" outlineLevel="1" x14ac:dyDescent="0.3">
      <c r="C2705" s="37" t="s">
        <v>790</v>
      </c>
      <c r="D2705" s="35" t="s">
        <v>299</v>
      </c>
    </row>
    <row r="2706" spans="3:4" hidden="1" outlineLevel="1" x14ac:dyDescent="0.3">
      <c r="C2706" s="37" t="s">
        <v>791</v>
      </c>
      <c r="D2706" s="35" t="s">
        <v>749</v>
      </c>
    </row>
    <row r="2707" spans="3:4" hidden="1" outlineLevel="1" x14ac:dyDescent="0.3">
      <c r="C2707" s="37" t="s">
        <v>792</v>
      </c>
      <c r="D2707" s="35" t="s">
        <v>750</v>
      </c>
    </row>
    <row r="2708" spans="3:4" hidden="1" outlineLevel="1" x14ac:dyDescent="0.3">
      <c r="C2708" s="37" t="s">
        <v>793</v>
      </c>
      <c r="D2708" s="35" t="s">
        <v>751</v>
      </c>
    </row>
    <row r="2709" spans="3:4" hidden="1" outlineLevel="1" x14ac:dyDescent="0.3">
      <c r="C2709" s="37" t="s">
        <v>794</v>
      </c>
      <c r="D2709" s="35" t="s">
        <v>752</v>
      </c>
    </row>
    <row r="2710" spans="3:4" hidden="1" outlineLevel="1" x14ac:dyDescent="0.3">
      <c r="C2710" s="37" t="s">
        <v>795</v>
      </c>
      <c r="D2710" s="35" t="s">
        <v>753</v>
      </c>
    </row>
    <row r="2711" spans="3:4" hidden="1" outlineLevel="1" x14ac:dyDescent="0.3">
      <c r="C2711" s="37" t="s">
        <v>796</v>
      </c>
      <c r="D2711" s="35" t="s">
        <v>754</v>
      </c>
    </row>
    <row r="2712" spans="3:4" hidden="1" outlineLevel="1" x14ac:dyDescent="0.3">
      <c r="C2712" s="37" t="s">
        <v>797</v>
      </c>
      <c r="D2712" s="35" t="s">
        <v>755</v>
      </c>
    </row>
    <row r="2713" spans="3:4" hidden="1" outlineLevel="1" x14ac:dyDescent="0.3">
      <c r="C2713" s="37" t="s">
        <v>798</v>
      </c>
      <c r="D2713" s="35" t="s">
        <v>756</v>
      </c>
    </row>
    <row r="2714" spans="3:4" hidden="1" outlineLevel="1" x14ac:dyDescent="0.3">
      <c r="C2714" s="37" t="s">
        <v>799</v>
      </c>
      <c r="D2714" s="35" t="s">
        <v>757</v>
      </c>
    </row>
    <row r="2715" spans="3:4" hidden="1" outlineLevel="1" x14ac:dyDescent="0.3">
      <c r="C2715" s="37" t="s">
        <v>800</v>
      </c>
      <c r="D2715" s="35" t="s">
        <v>758</v>
      </c>
    </row>
    <row r="2716" spans="3:4" hidden="1" outlineLevel="1" x14ac:dyDescent="0.3">
      <c r="C2716" s="37" t="s">
        <v>801</v>
      </c>
      <c r="D2716" s="35" t="s">
        <v>759</v>
      </c>
    </row>
    <row r="2717" spans="3:4" hidden="1" outlineLevel="1" x14ac:dyDescent="0.3">
      <c r="C2717" s="37" t="s">
        <v>802</v>
      </c>
      <c r="D2717" s="35" t="s">
        <v>760</v>
      </c>
    </row>
    <row r="2718" spans="3:4" hidden="1" outlineLevel="1" x14ac:dyDescent="0.3">
      <c r="C2718" s="37" t="s">
        <v>803</v>
      </c>
      <c r="D2718" s="35" t="s">
        <v>761</v>
      </c>
    </row>
    <row r="2719" spans="3:4" hidden="1" outlineLevel="1" x14ac:dyDescent="0.3">
      <c r="C2719" s="37" t="s">
        <v>804</v>
      </c>
      <c r="D2719" s="35" t="s">
        <v>762</v>
      </c>
    </row>
    <row r="2720" spans="3:4" hidden="1" outlineLevel="1" x14ac:dyDescent="0.3">
      <c r="C2720" s="37" t="s">
        <v>805</v>
      </c>
      <c r="D2720" s="35" t="s">
        <v>763</v>
      </c>
    </row>
    <row r="2721" spans="2:4" hidden="1" outlineLevel="1" x14ac:dyDescent="0.3">
      <c r="C2721" s="37" t="s">
        <v>806</v>
      </c>
      <c r="D2721" s="35" t="s">
        <v>764</v>
      </c>
    </row>
    <row r="2722" spans="2:4" hidden="1" outlineLevel="1" x14ac:dyDescent="0.3">
      <c r="C2722" s="37" t="s">
        <v>807</v>
      </c>
      <c r="D2722" s="35" t="s">
        <v>765</v>
      </c>
    </row>
    <row r="2723" spans="2:4" hidden="1" outlineLevel="1" x14ac:dyDescent="0.3">
      <c r="C2723" s="37" t="s">
        <v>808</v>
      </c>
      <c r="D2723" s="35" t="s">
        <v>766</v>
      </c>
    </row>
    <row r="2724" spans="2:4" hidden="1" outlineLevel="1" x14ac:dyDescent="0.3">
      <c r="C2724" s="37" t="s">
        <v>809</v>
      </c>
      <c r="D2724" s="35" t="s">
        <v>767</v>
      </c>
    </row>
    <row r="2725" spans="2:4" hidden="1" outlineLevel="1" x14ac:dyDescent="0.3">
      <c r="C2725" s="37" t="s">
        <v>810</v>
      </c>
      <c r="D2725" s="35" t="s">
        <v>768</v>
      </c>
    </row>
    <row r="2726" spans="2:4" hidden="1" outlineLevel="1" x14ac:dyDescent="0.3">
      <c r="C2726" s="37" t="s">
        <v>811</v>
      </c>
      <c r="D2726" s="35" t="s">
        <v>769</v>
      </c>
    </row>
    <row r="2727" spans="2:4" hidden="1" outlineLevel="1" x14ac:dyDescent="0.3">
      <c r="C2727" s="37" t="s">
        <v>812</v>
      </c>
      <c r="D2727" s="35" t="s">
        <v>770</v>
      </c>
    </row>
    <row r="2728" spans="2:4" hidden="1" outlineLevel="1" x14ac:dyDescent="0.3">
      <c r="C2728" s="37" t="s">
        <v>813</v>
      </c>
      <c r="D2728" s="35" t="s">
        <v>771</v>
      </c>
    </row>
    <row r="2729" spans="2:4" hidden="1" outlineLevel="1" x14ac:dyDescent="0.3">
      <c r="C2729" s="37" t="s">
        <v>814</v>
      </c>
      <c r="D2729" s="35" t="s">
        <v>772</v>
      </c>
    </row>
    <row r="2730" spans="2:4" hidden="1" outlineLevel="1" x14ac:dyDescent="0.3">
      <c r="C2730" s="37" t="s">
        <v>815</v>
      </c>
      <c r="D2730" s="35" t="s">
        <v>773</v>
      </c>
    </row>
    <row r="2731" spans="2:4" hidden="1" outlineLevel="1" x14ac:dyDescent="0.3">
      <c r="C2731" s="37" t="s">
        <v>816</v>
      </c>
      <c r="D2731" s="35" t="s">
        <v>774</v>
      </c>
    </row>
    <row r="2732" spans="2:4" hidden="1" outlineLevel="1" x14ac:dyDescent="0.3">
      <c r="C2732" s="37" t="s">
        <v>817</v>
      </c>
      <c r="D2732" s="35" t="s">
        <v>775</v>
      </c>
    </row>
    <row r="2733" spans="2:4" hidden="1" outlineLevel="1" x14ac:dyDescent="0.3">
      <c r="C2733" s="37" t="s">
        <v>818</v>
      </c>
      <c r="D2733" s="35" t="s">
        <v>776</v>
      </c>
    </row>
    <row r="2734" spans="2:4" hidden="1" outlineLevel="1" x14ac:dyDescent="0.3">
      <c r="C2734" s="37" t="s">
        <v>819</v>
      </c>
      <c r="D2734" s="35" t="s">
        <v>777</v>
      </c>
    </row>
    <row r="2735" spans="2:4" collapsed="1" x14ac:dyDescent="0.3">
      <c r="B2735" s="43" t="s">
        <v>381</v>
      </c>
      <c r="C2735" t="s">
        <v>249</v>
      </c>
    </row>
    <row r="2736" spans="2:4" hidden="1" outlineLevel="1" x14ac:dyDescent="0.3">
      <c r="C2736" s="40" t="s">
        <v>779</v>
      </c>
      <c r="D2736" s="35" t="s">
        <v>745</v>
      </c>
    </row>
    <row r="2737" spans="3:4" hidden="1" outlineLevel="1" x14ac:dyDescent="0.3">
      <c r="C2737" s="41" t="s">
        <v>780</v>
      </c>
      <c r="D2737" s="42" t="s">
        <v>820</v>
      </c>
    </row>
    <row r="2738" spans="3:4" hidden="1" outlineLevel="1" x14ac:dyDescent="0.3">
      <c r="C2738" s="40" t="s">
        <v>781</v>
      </c>
      <c r="D2738" s="35" t="s">
        <v>746</v>
      </c>
    </row>
    <row r="2739" spans="3:4" hidden="1" outlineLevel="1" x14ac:dyDescent="0.3">
      <c r="C2739" s="41" t="s">
        <v>782</v>
      </c>
      <c r="D2739" s="35" t="s">
        <v>367</v>
      </c>
    </row>
    <row r="2740" spans="3:4" hidden="1" outlineLevel="1" x14ac:dyDescent="0.3">
      <c r="C2740" s="41" t="s">
        <v>785</v>
      </c>
      <c r="D2740" s="35" t="s">
        <v>68</v>
      </c>
    </row>
    <row r="2741" spans="3:4" hidden="1" outlineLevel="1" x14ac:dyDescent="0.3">
      <c r="C2741" s="41" t="s">
        <v>786</v>
      </c>
      <c r="D2741" s="35" t="s">
        <v>747</v>
      </c>
    </row>
    <row r="2742" spans="3:4" hidden="1" outlineLevel="1" x14ac:dyDescent="0.3">
      <c r="C2742" s="41" t="s">
        <v>783</v>
      </c>
      <c r="D2742" s="35" t="s">
        <v>11</v>
      </c>
    </row>
    <row r="2743" spans="3:4" hidden="1" outlineLevel="1" x14ac:dyDescent="0.3">
      <c r="C2743" s="41" t="s">
        <v>784</v>
      </c>
      <c r="D2743" s="35" t="s">
        <v>125</v>
      </c>
    </row>
    <row r="2744" spans="3:4" hidden="1" outlineLevel="1" x14ac:dyDescent="0.3">
      <c r="C2744" s="41" t="s">
        <v>787</v>
      </c>
      <c r="D2744" s="35" t="s">
        <v>748</v>
      </c>
    </row>
    <row r="2745" spans="3:4" hidden="1" outlineLevel="1" x14ac:dyDescent="0.3">
      <c r="C2745" s="37" t="s">
        <v>788</v>
      </c>
      <c r="D2745" s="35" t="s">
        <v>517</v>
      </c>
    </row>
    <row r="2746" spans="3:4" hidden="1" outlineLevel="1" x14ac:dyDescent="0.3">
      <c r="C2746" s="37" t="s">
        <v>789</v>
      </c>
      <c r="D2746" s="35" t="s">
        <v>386</v>
      </c>
    </row>
    <row r="2747" spans="3:4" hidden="1" outlineLevel="1" x14ac:dyDescent="0.3">
      <c r="C2747" s="37" t="s">
        <v>790</v>
      </c>
      <c r="D2747" s="35" t="s">
        <v>299</v>
      </c>
    </row>
    <row r="2748" spans="3:4" hidden="1" outlineLevel="1" x14ac:dyDescent="0.3">
      <c r="C2748" s="37" t="s">
        <v>791</v>
      </c>
      <c r="D2748" s="35" t="s">
        <v>749</v>
      </c>
    </row>
    <row r="2749" spans="3:4" hidden="1" outlineLevel="1" x14ac:dyDescent="0.3">
      <c r="C2749" s="37" t="s">
        <v>792</v>
      </c>
      <c r="D2749" s="35" t="s">
        <v>750</v>
      </c>
    </row>
    <row r="2750" spans="3:4" hidden="1" outlineLevel="1" x14ac:dyDescent="0.3">
      <c r="C2750" s="37" t="s">
        <v>793</v>
      </c>
      <c r="D2750" s="35" t="s">
        <v>751</v>
      </c>
    </row>
    <row r="2751" spans="3:4" hidden="1" outlineLevel="1" x14ac:dyDescent="0.3">
      <c r="C2751" s="37" t="s">
        <v>794</v>
      </c>
      <c r="D2751" s="35" t="s">
        <v>752</v>
      </c>
    </row>
    <row r="2752" spans="3:4" hidden="1" outlineLevel="1" x14ac:dyDescent="0.3">
      <c r="C2752" s="37" t="s">
        <v>795</v>
      </c>
      <c r="D2752" s="35" t="s">
        <v>753</v>
      </c>
    </row>
    <row r="2753" spans="3:4" hidden="1" outlineLevel="1" x14ac:dyDescent="0.3">
      <c r="C2753" s="37" t="s">
        <v>796</v>
      </c>
      <c r="D2753" s="35" t="s">
        <v>754</v>
      </c>
    </row>
    <row r="2754" spans="3:4" hidden="1" outlineLevel="1" x14ac:dyDescent="0.3">
      <c r="C2754" s="37" t="s">
        <v>797</v>
      </c>
      <c r="D2754" s="35" t="s">
        <v>755</v>
      </c>
    </row>
    <row r="2755" spans="3:4" hidden="1" outlineLevel="1" x14ac:dyDescent="0.3">
      <c r="C2755" s="37" t="s">
        <v>798</v>
      </c>
      <c r="D2755" s="35" t="s">
        <v>756</v>
      </c>
    </row>
    <row r="2756" spans="3:4" hidden="1" outlineLevel="1" x14ac:dyDescent="0.3">
      <c r="C2756" s="37" t="s">
        <v>799</v>
      </c>
      <c r="D2756" s="35" t="s">
        <v>757</v>
      </c>
    </row>
    <row r="2757" spans="3:4" hidden="1" outlineLevel="1" x14ac:dyDescent="0.3">
      <c r="C2757" s="37" t="s">
        <v>800</v>
      </c>
      <c r="D2757" s="35" t="s">
        <v>758</v>
      </c>
    </row>
    <row r="2758" spans="3:4" hidden="1" outlineLevel="1" x14ac:dyDescent="0.3">
      <c r="C2758" s="37" t="s">
        <v>801</v>
      </c>
      <c r="D2758" s="35" t="s">
        <v>759</v>
      </c>
    </row>
    <row r="2759" spans="3:4" hidden="1" outlineLevel="1" x14ac:dyDescent="0.3">
      <c r="C2759" s="37" t="s">
        <v>802</v>
      </c>
      <c r="D2759" s="35" t="s">
        <v>760</v>
      </c>
    </row>
    <row r="2760" spans="3:4" hidden="1" outlineLevel="1" x14ac:dyDescent="0.3">
      <c r="C2760" s="37" t="s">
        <v>803</v>
      </c>
      <c r="D2760" s="35" t="s">
        <v>761</v>
      </c>
    </row>
    <row r="2761" spans="3:4" hidden="1" outlineLevel="1" x14ac:dyDescent="0.3">
      <c r="C2761" s="37" t="s">
        <v>804</v>
      </c>
      <c r="D2761" s="35" t="s">
        <v>762</v>
      </c>
    </row>
    <row r="2762" spans="3:4" hidden="1" outlineLevel="1" x14ac:dyDescent="0.3">
      <c r="C2762" s="37" t="s">
        <v>805</v>
      </c>
      <c r="D2762" s="35" t="s">
        <v>763</v>
      </c>
    </row>
    <row r="2763" spans="3:4" hidden="1" outlineLevel="1" x14ac:dyDescent="0.3">
      <c r="C2763" s="37" t="s">
        <v>806</v>
      </c>
      <c r="D2763" s="35" t="s">
        <v>764</v>
      </c>
    </row>
    <row r="2764" spans="3:4" hidden="1" outlineLevel="1" x14ac:dyDescent="0.3">
      <c r="C2764" s="37" t="s">
        <v>807</v>
      </c>
      <c r="D2764" s="35" t="s">
        <v>765</v>
      </c>
    </row>
    <row r="2765" spans="3:4" hidden="1" outlineLevel="1" x14ac:dyDescent="0.3">
      <c r="C2765" s="37" t="s">
        <v>808</v>
      </c>
      <c r="D2765" s="35" t="s">
        <v>766</v>
      </c>
    </row>
    <row r="2766" spans="3:4" hidden="1" outlineLevel="1" x14ac:dyDescent="0.3">
      <c r="C2766" s="37" t="s">
        <v>809</v>
      </c>
      <c r="D2766" s="35" t="s">
        <v>767</v>
      </c>
    </row>
    <row r="2767" spans="3:4" hidden="1" outlineLevel="1" x14ac:dyDescent="0.3">
      <c r="C2767" s="37" t="s">
        <v>810</v>
      </c>
      <c r="D2767" s="35" t="s">
        <v>768</v>
      </c>
    </row>
    <row r="2768" spans="3:4" hidden="1" outlineLevel="1" x14ac:dyDescent="0.3">
      <c r="C2768" s="37" t="s">
        <v>811</v>
      </c>
      <c r="D2768" s="35" t="s">
        <v>769</v>
      </c>
    </row>
    <row r="2769" spans="2:4" hidden="1" outlineLevel="1" x14ac:dyDescent="0.3">
      <c r="C2769" s="37" t="s">
        <v>812</v>
      </c>
      <c r="D2769" s="35" t="s">
        <v>770</v>
      </c>
    </row>
    <row r="2770" spans="2:4" hidden="1" outlineLevel="1" x14ac:dyDescent="0.3">
      <c r="C2770" s="37" t="s">
        <v>813</v>
      </c>
      <c r="D2770" s="35" t="s">
        <v>771</v>
      </c>
    </row>
    <row r="2771" spans="2:4" hidden="1" outlineLevel="1" x14ac:dyDescent="0.3">
      <c r="C2771" s="37" t="s">
        <v>814</v>
      </c>
      <c r="D2771" s="35" t="s">
        <v>772</v>
      </c>
    </row>
    <row r="2772" spans="2:4" hidden="1" outlineLevel="1" x14ac:dyDescent="0.3">
      <c r="C2772" s="37" t="s">
        <v>815</v>
      </c>
      <c r="D2772" s="35" t="s">
        <v>773</v>
      </c>
    </row>
    <row r="2773" spans="2:4" hidden="1" outlineLevel="1" x14ac:dyDescent="0.3">
      <c r="C2773" s="37" t="s">
        <v>816</v>
      </c>
      <c r="D2773" s="35" t="s">
        <v>774</v>
      </c>
    </row>
    <row r="2774" spans="2:4" hidden="1" outlineLevel="1" x14ac:dyDescent="0.3">
      <c r="C2774" s="37" t="s">
        <v>817</v>
      </c>
      <c r="D2774" s="35" t="s">
        <v>775</v>
      </c>
    </row>
    <row r="2775" spans="2:4" hidden="1" outlineLevel="1" x14ac:dyDescent="0.3">
      <c r="C2775" s="37" t="s">
        <v>818</v>
      </c>
      <c r="D2775" s="35" t="s">
        <v>776</v>
      </c>
    </row>
    <row r="2776" spans="2:4" hidden="1" outlineLevel="1" x14ac:dyDescent="0.3">
      <c r="C2776" s="37" t="s">
        <v>819</v>
      </c>
      <c r="D2776" s="35" t="s">
        <v>777</v>
      </c>
    </row>
    <row r="2777" spans="2:4" collapsed="1" x14ac:dyDescent="0.3">
      <c r="B2777" s="43" t="s">
        <v>427</v>
      </c>
      <c r="C2777" t="s">
        <v>249</v>
      </c>
    </row>
    <row r="2778" spans="2:4" hidden="1" outlineLevel="1" x14ac:dyDescent="0.3">
      <c r="C2778" s="40" t="s">
        <v>779</v>
      </c>
      <c r="D2778" s="35" t="s">
        <v>745</v>
      </c>
    </row>
    <row r="2779" spans="2:4" hidden="1" outlineLevel="1" x14ac:dyDescent="0.3">
      <c r="C2779" s="41" t="s">
        <v>780</v>
      </c>
      <c r="D2779" s="42" t="s">
        <v>820</v>
      </c>
    </row>
    <row r="2780" spans="2:4" hidden="1" outlineLevel="1" x14ac:dyDescent="0.3">
      <c r="C2780" s="40" t="s">
        <v>781</v>
      </c>
      <c r="D2780" s="35" t="s">
        <v>746</v>
      </c>
    </row>
    <row r="2781" spans="2:4" hidden="1" outlineLevel="1" x14ac:dyDescent="0.3">
      <c r="C2781" s="41" t="s">
        <v>782</v>
      </c>
      <c r="D2781" s="35" t="s">
        <v>367</v>
      </c>
    </row>
    <row r="2782" spans="2:4" hidden="1" outlineLevel="1" x14ac:dyDescent="0.3">
      <c r="C2782" s="41" t="s">
        <v>785</v>
      </c>
      <c r="D2782" s="35" t="s">
        <v>68</v>
      </c>
    </row>
    <row r="2783" spans="2:4" hidden="1" outlineLevel="1" x14ac:dyDescent="0.3">
      <c r="C2783" s="41" t="s">
        <v>786</v>
      </c>
      <c r="D2783" s="35" t="s">
        <v>747</v>
      </c>
    </row>
    <row r="2784" spans="2:4" hidden="1" outlineLevel="1" x14ac:dyDescent="0.3">
      <c r="C2784" s="41" t="s">
        <v>783</v>
      </c>
      <c r="D2784" s="35" t="s">
        <v>11</v>
      </c>
    </row>
    <row r="2785" spans="3:4" hidden="1" outlineLevel="1" x14ac:dyDescent="0.3">
      <c r="C2785" s="41" t="s">
        <v>784</v>
      </c>
      <c r="D2785" s="35" t="s">
        <v>125</v>
      </c>
    </row>
    <row r="2786" spans="3:4" hidden="1" outlineLevel="1" x14ac:dyDescent="0.3">
      <c r="C2786" s="41" t="s">
        <v>787</v>
      </c>
      <c r="D2786" s="35" t="s">
        <v>748</v>
      </c>
    </row>
    <row r="2787" spans="3:4" hidden="1" outlineLevel="1" x14ac:dyDescent="0.3">
      <c r="C2787" s="37" t="s">
        <v>788</v>
      </c>
      <c r="D2787" s="35" t="s">
        <v>517</v>
      </c>
    </row>
    <row r="2788" spans="3:4" hidden="1" outlineLevel="1" x14ac:dyDescent="0.3">
      <c r="C2788" s="37" t="s">
        <v>789</v>
      </c>
      <c r="D2788" s="35" t="s">
        <v>386</v>
      </c>
    </row>
    <row r="2789" spans="3:4" hidden="1" outlineLevel="1" x14ac:dyDescent="0.3">
      <c r="C2789" s="37" t="s">
        <v>790</v>
      </c>
      <c r="D2789" s="35" t="s">
        <v>299</v>
      </c>
    </row>
    <row r="2790" spans="3:4" hidden="1" outlineLevel="1" x14ac:dyDescent="0.3">
      <c r="C2790" s="37" t="s">
        <v>791</v>
      </c>
      <c r="D2790" s="35" t="s">
        <v>749</v>
      </c>
    </row>
    <row r="2791" spans="3:4" hidden="1" outlineLevel="1" x14ac:dyDescent="0.3">
      <c r="C2791" s="37" t="s">
        <v>792</v>
      </c>
      <c r="D2791" s="35" t="s">
        <v>750</v>
      </c>
    </row>
    <row r="2792" spans="3:4" hidden="1" outlineLevel="1" x14ac:dyDescent="0.3">
      <c r="C2792" s="37" t="s">
        <v>793</v>
      </c>
      <c r="D2792" s="35" t="s">
        <v>751</v>
      </c>
    </row>
    <row r="2793" spans="3:4" hidden="1" outlineLevel="1" x14ac:dyDescent="0.3">
      <c r="C2793" s="37" t="s">
        <v>794</v>
      </c>
      <c r="D2793" s="35" t="s">
        <v>752</v>
      </c>
    </row>
    <row r="2794" spans="3:4" hidden="1" outlineLevel="1" x14ac:dyDescent="0.3">
      <c r="C2794" s="37" t="s">
        <v>795</v>
      </c>
      <c r="D2794" s="35" t="s">
        <v>753</v>
      </c>
    </row>
    <row r="2795" spans="3:4" hidden="1" outlineLevel="1" x14ac:dyDescent="0.3">
      <c r="C2795" s="37" t="s">
        <v>796</v>
      </c>
      <c r="D2795" s="35" t="s">
        <v>754</v>
      </c>
    </row>
    <row r="2796" spans="3:4" hidden="1" outlineLevel="1" x14ac:dyDescent="0.3">
      <c r="C2796" s="37" t="s">
        <v>797</v>
      </c>
      <c r="D2796" s="35" t="s">
        <v>755</v>
      </c>
    </row>
    <row r="2797" spans="3:4" hidden="1" outlineLevel="1" x14ac:dyDescent="0.3">
      <c r="C2797" s="37" t="s">
        <v>798</v>
      </c>
      <c r="D2797" s="35" t="s">
        <v>756</v>
      </c>
    </row>
    <row r="2798" spans="3:4" hidden="1" outlineLevel="1" x14ac:dyDescent="0.3">
      <c r="C2798" s="37" t="s">
        <v>799</v>
      </c>
      <c r="D2798" s="35" t="s">
        <v>757</v>
      </c>
    </row>
    <row r="2799" spans="3:4" hidden="1" outlineLevel="1" x14ac:dyDescent="0.3">
      <c r="C2799" s="37" t="s">
        <v>800</v>
      </c>
      <c r="D2799" s="35" t="s">
        <v>758</v>
      </c>
    </row>
    <row r="2800" spans="3:4" hidden="1" outlineLevel="1" x14ac:dyDescent="0.3">
      <c r="C2800" s="37" t="s">
        <v>801</v>
      </c>
      <c r="D2800" s="35" t="s">
        <v>759</v>
      </c>
    </row>
    <row r="2801" spans="3:4" hidden="1" outlineLevel="1" x14ac:dyDescent="0.3">
      <c r="C2801" s="37" t="s">
        <v>802</v>
      </c>
      <c r="D2801" s="35" t="s">
        <v>760</v>
      </c>
    </row>
    <row r="2802" spans="3:4" hidden="1" outlineLevel="1" x14ac:dyDescent="0.3">
      <c r="C2802" s="37" t="s">
        <v>803</v>
      </c>
      <c r="D2802" s="35" t="s">
        <v>761</v>
      </c>
    </row>
    <row r="2803" spans="3:4" hidden="1" outlineLevel="1" x14ac:dyDescent="0.3">
      <c r="C2803" s="37" t="s">
        <v>804</v>
      </c>
      <c r="D2803" s="35" t="s">
        <v>762</v>
      </c>
    </row>
    <row r="2804" spans="3:4" hidden="1" outlineLevel="1" x14ac:dyDescent="0.3">
      <c r="C2804" s="37" t="s">
        <v>805</v>
      </c>
      <c r="D2804" s="35" t="s">
        <v>763</v>
      </c>
    </row>
    <row r="2805" spans="3:4" hidden="1" outlineLevel="1" x14ac:dyDescent="0.3">
      <c r="C2805" s="37" t="s">
        <v>806</v>
      </c>
      <c r="D2805" s="35" t="s">
        <v>764</v>
      </c>
    </row>
    <row r="2806" spans="3:4" hidden="1" outlineLevel="1" x14ac:dyDescent="0.3">
      <c r="C2806" s="37" t="s">
        <v>807</v>
      </c>
      <c r="D2806" s="35" t="s">
        <v>765</v>
      </c>
    </row>
    <row r="2807" spans="3:4" hidden="1" outlineLevel="1" x14ac:dyDescent="0.3">
      <c r="C2807" s="37" t="s">
        <v>808</v>
      </c>
      <c r="D2807" s="35" t="s">
        <v>766</v>
      </c>
    </row>
    <row r="2808" spans="3:4" hidden="1" outlineLevel="1" x14ac:dyDescent="0.3">
      <c r="C2808" s="37" t="s">
        <v>809</v>
      </c>
      <c r="D2808" s="35" t="s">
        <v>767</v>
      </c>
    </row>
    <row r="2809" spans="3:4" hidden="1" outlineLevel="1" x14ac:dyDescent="0.3">
      <c r="C2809" s="37" t="s">
        <v>810</v>
      </c>
      <c r="D2809" s="35" t="s">
        <v>768</v>
      </c>
    </row>
    <row r="2810" spans="3:4" hidden="1" outlineLevel="1" x14ac:dyDescent="0.3">
      <c r="C2810" s="37" t="s">
        <v>811</v>
      </c>
      <c r="D2810" s="35" t="s">
        <v>769</v>
      </c>
    </row>
    <row r="2811" spans="3:4" hidden="1" outlineLevel="1" x14ac:dyDescent="0.3">
      <c r="C2811" s="37" t="s">
        <v>812</v>
      </c>
      <c r="D2811" s="35" t="s">
        <v>770</v>
      </c>
    </row>
    <row r="2812" spans="3:4" hidden="1" outlineLevel="1" x14ac:dyDescent="0.3">
      <c r="C2812" s="37" t="s">
        <v>813</v>
      </c>
      <c r="D2812" s="35" t="s">
        <v>771</v>
      </c>
    </row>
    <row r="2813" spans="3:4" hidden="1" outlineLevel="1" x14ac:dyDescent="0.3">
      <c r="C2813" s="37" t="s">
        <v>814</v>
      </c>
      <c r="D2813" s="35" t="s">
        <v>772</v>
      </c>
    </row>
    <row r="2814" spans="3:4" hidden="1" outlineLevel="1" x14ac:dyDescent="0.3">
      <c r="C2814" s="37" t="s">
        <v>815</v>
      </c>
      <c r="D2814" s="35" t="s">
        <v>773</v>
      </c>
    </row>
    <row r="2815" spans="3:4" hidden="1" outlineLevel="1" x14ac:dyDescent="0.3">
      <c r="C2815" s="37" t="s">
        <v>816</v>
      </c>
      <c r="D2815" s="35" t="s">
        <v>774</v>
      </c>
    </row>
    <row r="2816" spans="3:4" hidden="1" outlineLevel="1" x14ac:dyDescent="0.3">
      <c r="C2816" s="37" t="s">
        <v>817</v>
      </c>
      <c r="D2816" s="35" t="s">
        <v>775</v>
      </c>
    </row>
    <row r="2817" spans="2:4" hidden="1" outlineLevel="1" x14ac:dyDescent="0.3">
      <c r="C2817" s="37" t="s">
        <v>818</v>
      </c>
      <c r="D2817" s="35" t="s">
        <v>776</v>
      </c>
    </row>
    <row r="2818" spans="2:4" hidden="1" outlineLevel="1" x14ac:dyDescent="0.3">
      <c r="C2818" s="37" t="s">
        <v>819</v>
      </c>
      <c r="D2818" s="35" t="s">
        <v>777</v>
      </c>
    </row>
    <row r="2819" spans="2:4" collapsed="1" x14ac:dyDescent="0.3">
      <c r="B2819" s="43" t="s">
        <v>91</v>
      </c>
      <c r="C2819" t="s">
        <v>11</v>
      </c>
    </row>
    <row r="2820" spans="2:4" hidden="1" outlineLevel="1" x14ac:dyDescent="0.3">
      <c r="C2820" s="40" t="s">
        <v>779</v>
      </c>
      <c r="D2820" s="35" t="s">
        <v>745</v>
      </c>
    </row>
    <row r="2821" spans="2:4" hidden="1" outlineLevel="1" x14ac:dyDescent="0.3">
      <c r="C2821" s="41" t="s">
        <v>780</v>
      </c>
      <c r="D2821" s="42" t="s">
        <v>820</v>
      </c>
    </row>
    <row r="2822" spans="2:4" hidden="1" outlineLevel="1" x14ac:dyDescent="0.3">
      <c r="C2822" s="40" t="s">
        <v>781</v>
      </c>
      <c r="D2822" s="35" t="s">
        <v>746</v>
      </c>
    </row>
    <row r="2823" spans="2:4" hidden="1" outlineLevel="1" x14ac:dyDescent="0.3">
      <c r="C2823" s="41" t="s">
        <v>782</v>
      </c>
      <c r="D2823" s="35" t="s">
        <v>367</v>
      </c>
    </row>
    <row r="2824" spans="2:4" hidden="1" outlineLevel="1" x14ac:dyDescent="0.3">
      <c r="C2824" s="41" t="s">
        <v>785</v>
      </c>
      <c r="D2824" s="35" t="s">
        <v>68</v>
      </c>
    </row>
    <row r="2825" spans="2:4" hidden="1" outlineLevel="1" x14ac:dyDescent="0.3">
      <c r="C2825" s="41" t="s">
        <v>786</v>
      </c>
      <c r="D2825" s="35" t="s">
        <v>747</v>
      </c>
    </row>
    <row r="2826" spans="2:4" hidden="1" outlineLevel="1" x14ac:dyDescent="0.3">
      <c r="C2826" s="41" t="s">
        <v>783</v>
      </c>
      <c r="D2826" s="35" t="s">
        <v>11</v>
      </c>
    </row>
    <row r="2827" spans="2:4" hidden="1" outlineLevel="1" x14ac:dyDescent="0.3">
      <c r="C2827" s="41" t="s">
        <v>784</v>
      </c>
      <c r="D2827" s="35" t="s">
        <v>125</v>
      </c>
    </row>
    <row r="2828" spans="2:4" hidden="1" outlineLevel="1" x14ac:dyDescent="0.3">
      <c r="C2828" s="41" t="s">
        <v>787</v>
      </c>
      <c r="D2828" s="35" t="s">
        <v>748</v>
      </c>
    </row>
    <row r="2829" spans="2:4" hidden="1" outlineLevel="1" x14ac:dyDescent="0.3">
      <c r="C2829" s="37" t="s">
        <v>788</v>
      </c>
      <c r="D2829" s="35" t="s">
        <v>517</v>
      </c>
    </row>
    <row r="2830" spans="2:4" hidden="1" outlineLevel="1" x14ac:dyDescent="0.3">
      <c r="C2830" s="37" t="s">
        <v>789</v>
      </c>
      <c r="D2830" s="35" t="s">
        <v>386</v>
      </c>
    </row>
    <row r="2831" spans="2:4" hidden="1" outlineLevel="1" x14ac:dyDescent="0.3">
      <c r="C2831" s="37" t="s">
        <v>790</v>
      </c>
      <c r="D2831" s="35" t="s">
        <v>299</v>
      </c>
    </row>
    <row r="2832" spans="2:4" hidden="1" outlineLevel="1" x14ac:dyDescent="0.3">
      <c r="C2832" s="37" t="s">
        <v>791</v>
      </c>
      <c r="D2832" s="35" t="s">
        <v>749</v>
      </c>
    </row>
    <row r="2833" spans="3:4" hidden="1" outlineLevel="1" x14ac:dyDescent="0.3">
      <c r="C2833" s="37" t="s">
        <v>792</v>
      </c>
      <c r="D2833" s="35" t="s">
        <v>750</v>
      </c>
    </row>
    <row r="2834" spans="3:4" hidden="1" outlineLevel="1" x14ac:dyDescent="0.3">
      <c r="C2834" s="37" t="s">
        <v>793</v>
      </c>
      <c r="D2834" s="35" t="s">
        <v>751</v>
      </c>
    </row>
    <row r="2835" spans="3:4" hidden="1" outlineLevel="1" x14ac:dyDescent="0.3">
      <c r="C2835" s="37" t="s">
        <v>794</v>
      </c>
      <c r="D2835" s="35" t="s">
        <v>752</v>
      </c>
    </row>
    <row r="2836" spans="3:4" hidden="1" outlineLevel="1" x14ac:dyDescent="0.3">
      <c r="C2836" s="37" t="s">
        <v>795</v>
      </c>
      <c r="D2836" s="35" t="s">
        <v>753</v>
      </c>
    </row>
    <row r="2837" spans="3:4" hidden="1" outlineLevel="1" x14ac:dyDescent="0.3">
      <c r="C2837" s="37" t="s">
        <v>796</v>
      </c>
      <c r="D2837" s="35" t="s">
        <v>754</v>
      </c>
    </row>
    <row r="2838" spans="3:4" hidden="1" outlineLevel="1" x14ac:dyDescent="0.3">
      <c r="C2838" s="37" t="s">
        <v>797</v>
      </c>
      <c r="D2838" s="35" t="s">
        <v>755</v>
      </c>
    </row>
    <row r="2839" spans="3:4" hidden="1" outlineLevel="1" x14ac:dyDescent="0.3">
      <c r="C2839" s="37" t="s">
        <v>798</v>
      </c>
      <c r="D2839" s="35" t="s">
        <v>756</v>
      </c>
    </row>
    <row r="2840" spans="3:4" hidden="1" outlineLevel="1" x14ac:dyDescent="0.3">
      <c r="C2840" s="37" t="s">
        <v>799</v>
      </c>
      <c r="D2840" s="35" t="s">
        <v>757</v>
      </c>
    </row>
    <row r="2841" spans="3:4" hidden="1" outlineLevel="1" x14ac:dyDescent="0.3">
      <c r="C2841" s="37" t="s">
        <v>800</v>
      </c>
      <c r="D2841" s="35" t="s">
        <v>758</v>
      </c>
    </row>
    <row r="2842" spans="3:4" hidden="1" outlineLevel="1" x14ac:dyDescent="0.3">
      <c r="C2842" s="37" t="s">
        <v>801</v>
      </c>
      <c r="D2842" s="35" t="s">
        <v>759</v>
      </c>
    </row>
    <row r="2843" spans="3:4" hidden="1" outlineLevel="1" x14ac:dyDescent="0.3">
      <c r="C2843" s="37" t="s">
        <v>802</v>
      </c>
      <c r="D2843" s="35" t="s">
        <v>760</v>
      </c>
    </row>
    <row r="2844" spans="3:4" hidden="1" outlineLevel="1" x14ac:dyDescent="0.3">
      <c r="C2844" s="37" t="s">
        <v>803</v>
      </c>
      <c r="D2844" s="35" t="s">
        <v>761</v>
      </c>
    </row>
    <row r="2845" spans="3:4" hidden="1" outlineLevel="1" x14ac:dyDescent="0.3">
      <c r="C2845" s="37" t="s">
        <v>804</v>
      </c>
      <c r="D2845" s="35" t="s">
        <v>762</v>
      </c>
    </row>
    <row r="2846" spans="3:4" hidden="1" outlineLevel="1" x14ac:dyDescent="0.3">
      <c r="C2846" s="37" t="s">
        <v>805</v>
      </c>
      <c r="D2846" s="35" t="s">
        <v>763</v>
      </c>
    </row>
    <row r="2847" spans="3:4" hidden="1" outlineLevel="1" x14ac:dyDescent="0.3">
      <c r="C2847" s="37" t="s">
        <v>806</v>
      </c>
      <c r="D2847" s="35" t="s">
        <v>764</v>
      </c>
    </row>
    <row r="2848" spans="3:4" hidden="1" outlineLevel="1" x14ac:dyDescent="0.3">
      <c r="C2848" s="37" t="s">
        <v>807</v>
      </c>
      <c r="D2848" s="35" t="s">
        <v>765</v>
      </c>
    </row>
    <row r="2849" spans="2:4" hidden="1" outlineLevel="1" x14ac:dyDescent="0.3">
      <c r="C2849" s="37" t="s">
        <v>808</v>
      </c>
      <c r="D2849" s="35" t="s">
        <v>766</v>
      </c>
    </row>
    <row r="2850" spans="2:4" hidden="1" outlineLevel="1" x14ac:dyDescent="0.3">
      <c r="C2850" s="37" t="s">
        <v>809</v>
      </c>
      <c r="D2850" s="35" t="s">
        <v>767</v>
      </c>
    </row>
    <row r="2851" spans="2:4" hidden="1" outlineLevel="1" x14ac:dyDescent="0.3">
      <c r="C2851" s="37" t="s">
        <v>810</v>
      </c>
      <c r="D2851" s="35" t="s">
        <v>768</v>
      </c>
    </row>
    <row r="2852" spans="2:4" hidden="1" outlineLevel="1" x14ac:dyDescent="0.3">
      <c r="C2852" s="37" t="s">
        <v>811</v>
      </c>
      <c r="D2852" s="35" t="s">
        <v>769</v>
      </c>
    </row>
    <row r="2853" spans="2:4" hidden="1" outlineLevel="1" x14ac:dyDescent="0.3">
      <c r="C2853" s="37" t="s">
        <v>812</v>
      </c>
      <c r="D2853" s="35" t="s">
        <v>770</v>
      </c>
    </row>
    <row r="2854" spans="2:4" hidden="1" outlineLevel="1" x14ac:dyDescent="0.3">
      <c r="C2854" s="37" t="s">
        <v>813</v>
      </c>
      <c r="D2854" s="35" t="s">
        <v>771</v>
      </c>
    </row>
    <row r="2855" spans="2:4" hidden="1" outlineLevel="1" x14ac:dyDescent="0.3">
      <c r="C2855" s="37" t="s">
        <v>814</v>
      </c>
      <c r="D2855" s="35" t="s">
        <v>772</v>
      </c>
    </row>
    <row r="2856" spans="2:4" hidden="1" outlineLevel="1" x14ac:dyDescent="0.3">
      <c r="C2856" s="37" t="s">
        <v>815</v>
      </c>
      <c r="D2856" s="35" t="s">
        <v>773</v>
      </c>
    </row>
    <row r="2857" spans="2:4" hidden="1" outlineLevel="1" x14ac:dyDescent="0.3">
      <c r="C2857" s="37" t="s">
        <v>816</v>
      </c>
      <c r="D2857" s="35" t="s">
        <v>774</v>
      </c>
    </row>
    <row r="2858" spans="2:4" hidden="1" outlineLevel="1" x14ac:dyDescent="0.3">
      <c r="C2858" s="37" t="s">
        <v>817</v>
      </c>
      <c r="D2858" s="35" t="s">
        <v>775</v>
      </c>
    </row>
    <row r="2859" spans="2:4" hidden="1" outlineLevel="1" x14ac:dyDescent="0.3">
      <c r="C2859" s="37" t="s">
        <v>818</v>
      </c>
      <c r="D2859" s="35" t="s">
        <v>776</v>
      </c>
    </row>
    <row r="2860" spans="2:4" hidden="1" outlineLevel="1" x14ac:dyDescent="0.3">
      <c r="C2860" s="37" t="s">
        <v>819</v>
      </c>
      <c r="D2860" s="35" t="s">
        <v>777</v>
      </c>
    </row>
    <row r="2861" spans="2:4" collapsed="1" x14ac:dyDescent="0.3">
      <c r="B2861" s="43" t="s">
        <v>516</v>
      </c>
      <c r="C2861" t="s">
        <v>517</v>
      </c>
    </row>
    <row r="2862" spans="2:4" x14ac:dyDescent="0.3">
      <c r="B2862" s="43" t="s">
        <v>112</v>
      </c>
      <c r="C2862" t="s">
        <v>11</v>
      </c>
    </row>
    <row r="2863" spans="2:4" hidden="1" outlineLevel="1" x14ac:dyDescent="0.3">
      <c r="C2863" s="40" t="s">
        <v>779</v>
      </c>
      <c r="D2863" s="35" t="s">
        <v>745</v>
      </c>
    </row>
    <row r="2864" spans="2:4" hidden="1" outlineLevel="1" x14ac:dyDescent="0.3">
      <c r="C2864" s="41" t="s">
        <v>780</v>
      </c>
      <c r="D2864" s="42" t="s">
        <v>820</v>
      </c>
    </row>
    <row r="2865" spans="3:4" hidden="1" outlineLevel="1" x14ac:dyDescent="0.3">
      <c r="C2865" s="40" t="s">
        <v>781</v>
      </c>
      <c r="D2865" s="35" t="s">
        <v>746</v>
      </c>
    </row>
    <row r="2866" spans="3:4" hidden="1" outlineLevel="1" x14ac:dyDescent="0.3">
      <c r="C2866" s="41" t="s">
        <v>782</v>
      </c>
      <c r="D2866" s="35" t="s">
        <v>367</v>
      </c>
    </row>
    <row r="2867" spans="3:4" hidden="1" outlineLevel="1" x14ac:dyDescent="0.3">
      <c r="C2867" s="41" t="s">
        <v>785</v>
      </c>
      <c r="D2867" s="35" t="s">
        <v>68</v>
      </c>
    </row>
    <row r="2868" spans="3:4" hidden="1" outlineLevel="1" x14ac:dyDescent="0.3">
      <c r="C2868" s="41" t="s">
        <v>786</v>
      </c>
      <c r="D2868" s="35" t="s">
        <v>747</v>
      </c>
    </row>
    <row r="2869" spans="3:4" hidden="1" outlineLevel="1" x14ac:dyDescent="0.3">
      <c r="C2869" s="41" t="s">
        <v>783</v>
      </c>
      <c r="D2869" s="35" t="s">
        <v>11</v>
      </c>
    </row>
    <row r="2870" spans="3:4" hidden="1" outlineLevel="1" x14ac:dyDescent="0.3">
      <c r="C2870" s="41" t="s">
        <v>784</v>
      </c>
      <c r="D2870" s="35" t="s">
        <v>125</v>
      </c>
    </row>
    <row r="2871" spans="3:4" hidden="1" outlineLevel="1" x14ac:dyDescent="0.3">
      <c r="C2871" s="41" t="s">
        <v>787</v>
      </c>
      <c r="D2871" s="35" t="s">
        <v>748</v>
      </c>
    </row>
    <row r="2872" spans="3:4" hidden="1" outlineLevel="1" x14ac:dyDescent="0.3">
      <c r="C2872" s="37" t="s">
        <v>788</v>
      </c>
      <c r="D2872" s="35" t="s">
        <v>517</v>
      </c>
    </row>
    <row r="2873" spans="3:4" hidden="1" outlineLevel="1" x14ac:dyDescent="0.3">
      <c r="C2873" s="37" t="s">
        <v>789</v>
      </c>
      <c r="D2873" s="35" t="s">
        <v>386</v>
      </c>
    </row>
    <row r="2874" spans="3:4" hidden="1" outlineLevel="1" x14ac:dyDescent="0.3">
      <c r="C2874" s="37" t="s">
        <v>790</v>
      </c>
      <c r="D2874" s="35" t="s">
        <v>299</v>
      </c>
    </row>
    <row r="2875" spans="3:4" hidden="1" outlineLevel="1" x14ac:dyDescent="0.3">
      <c r="C2875" s="37" t="s">
        <v>791</v>
      </c>
      <c r="D2875" s="35" t="s">
        <v>749</v>
      </c>
    </row>
    <row r="2876" spans="3:4" hidden="1" outlineLevel="1" x14ac:dyDescent="0.3">
      <c r="C2876" s="37" t="s">
        <v>792</v>
      </c>
      <c r="D2876" s="35" t="s">
        <v>750</v>
      </c>
    </row>
    <row r="2877" spans="3:4" hidden="1" outlineLevel="1" x14ac:dyDescent="0.3">
      <c r="C2877" s="37" t="s">
        <v>793</v>
      </c>
      <c r="D2877" s="35" t="s">
        <v>751</v>
      </c>
    </row>
    <row r="2878" spans="3:4" hidden="1" outlineLevel="1" x14ac:dyDescent="0.3">
      <c r="C2878" s="37" t="s">
        <v>794</v>
      </c>
      <c r="D2878" s="35" t="s">
        <v>752</v>
      </c>
    </row>
    <row r="2879" spans="3:4" hidden="1" outlineLevel="1" x14ac:dyDescent="0.3">
      <c r="C2879" s="37" t="s">
        <v>795</v>
      </c>
      <c r="D2879" s="35" t="s">
        <v>753</v>
      </c>
    </row>
    <row r="2880" spans="3:4" hidden="1" outlineLevel="1" x14ac:dyDescent="0.3">
      <c r="C2880" s="37" t="s">
        <v>796</v>
      </c>
      <c r="D2880" s="35" t="s">
        <v>754</v>
      </c>
    </row>
    <row r="2881" spans="3:4" hidden="1" outlineLevel="1" x14ac:dyDescent="0.3">
      <c r="C2881" s="37" t="s">
        <v>797</v>
      </c>
      <c r="D2881" s="35" t="s">
        <v>755</v>
      </c>
    </row>
    <row r="2882" spans="3:4" hidden="1" outlineLevel="1" x14ac:dyDescent="0.3">
      <c r="C2882" s="37" t="s">
        <v>798</v>
      </c>
      <c r="D2882" s="35" t="s">
        <v>756</v>
      </c>
    </row>
    <row r="2883" spans="3:4" hidden="1" outlineLevel="1" x14ac:dyDescent="0.3">
      <c r="C2883" s="37" t="s">
        <v>799</v>
      </c>
      <c r="D2883" s="35" t="s">
        <v>757</v>
      </c>
    </row>
    <row r="2884" spans="3:4" hidden="1" outlineLevel="1" x14ac:dyDescent="0.3">
      <c r="C2884" s="37" t="s">
        <v>800</v>
      </c>
      <c r="D2884" s="35" t="s">
        <v>758</v>
      </c>
    </row>
    <row r="2885" spans="3:4" hidden="1" outlineLevel="1" x14ac:dyDescent="0.3">
      <c r="C2885" s="37" t="s">
        <v>801</v>
      </c>
      <c r="D2885" s="35" t="s">
        <v>759</v>
      </c>
    </row>
    <row r="2886" spans="3:4" hidden="1" outlineLevel="1" x14ac:dyDescent="0.3">
      <c r="C2886" s="37" t="s">
        <v>802</v>
      </c>
      <c r="D2886" s="35" t="s">
        <v>760</v>
      </c>
    </row>
    <row r="2887" spans="3:4" hidden="1" outlineLevel="1" x14ac:dyDescent="0.3">
      <c r="C2887" s="37" t="s">
        <v>803</v>
      </c>
      <c r="D2887" s="35" t="s">
        <v>761</v>
      </c>
    </row>
    <row r="2888" spans="3:4" hidden="1" outlineLevel="1" x14ac:dyDescent="0.3">
      <c r="C2888" s="37" t="s">
        <v>804</v>
      </c>
      <c r="D2888" s="35" t="s">
        <v>762</v>
      </c>
    </row>
    <row r="2889" spans="3:4" hidden="1" outlineLevel="1" x14ac:dyDescent="0.3">
      <c r="C2889" s="37" t="s">
        <v>805</v>
      </c>
      <c r="D2889" s="35" t="s">
        <v>763</v>
      </c>
    </row>
    <row r="2890" spans="3:4" hidden="1" outlineLevel="1" x14ac:dyDescent="0.3">
      <c r="C2890" s="37" t="s">
        <v>806</v>
      </c>
      <c r="D2890" s="35" t="s">
        <v>764</v>
      </c>
    </row>
    <row r="2891" spans="3:4" hidden="1" outlineLevel="1" x14ac:dyDescent="0.3">
      <c r="C2891" s="37" t="s">
        <v>807</v>
      </c>
      <c r="D2891" s="35" t="s">
        <v>765</v>
      </c>
    </row>
    <row r="2892" spans="3:4" hidden="1" outlineLevel="1" x14ac:dyDescent="0.3">
      <c r="C2892" s="37" t="s">
        <v>808</v>
      </c>
      <c r="D2892" s="35" t="s">
        <v>766</v>
      </c>
    </row>
    <row r="2893" spans="3:4" hidden="1" outlineLevel="1" x14ac:dyDescent="0.3">
      <c r="C2893" s="37" t="s">
        <v>809</v>
      </c>
      <c r="D2893" s="35" t="s">
        <v>767</v>
      </c>
    </row>
    <row r="2894" spans="3:4" hidden="1" outlineLevel="1" x14ac:dyDescent="0.3">
      <c r="C2894" s="37" t="s">
        <v>810</v>
      </c>
      <c r="D2894" s="35" t="s">
        <v>768</v>
      </c>
    </row>
    <row r="2895" spans="3:4" hidden="1" outlineLevel="1" x14ac:dyDescent="0.3">
      <c r="C2895" s="37" t="s">
        <v>811</v>
      </c>
      <c r="D2895" s="35" t="s">
        <v>769</v>
      </c>
    </row>
    <row r="2896" spans="3:4" hidden="1" outlineLevel="1" x14ac:dyDescent="0.3">
      <c r="C2896" s="37" t="s">
        <v>812</v>
      </c>
      <c r="D2896" s="35" t="s">
        <v>770</v>
      </c>
    </row>
    <row r="2897" spans="2:4" hidden="1" outlineLevel="1" x14ac:dyDescent="0.3">
      <c r="C2897" s="37" t="s">
        <v>813</v>
      </c>
      <c r="D2897" s="35" t="s">
        <v>771</v>
      </c>
    </row>
    <row r="2898" spans="2:4" hidden="1" outlineLevel="1" x14ac:dyDescent="0.3">
      <c r="C2898" s="37" t="s">
        <v>814</v>
      </c>
      <c r="D2898" s="35" t="s">
        <v>772</v>
      </c>
    </row>
    <row r="2899" spans="2:4" hidden="1" outlineLevel="1" x14ac:dyDescent="0.3">
      <c r="C2899" s="37" t="s">
        <v>815</v>
      </c>
      <c r="D2899" s="35" t="s">
        <v>773</v>
      </c>
    </row>
    <row r="2900" spans="2:4" hidden="1" outlineLevel="1" x14ac:dyDescent="0.3">
      <c r="C2900" s="37" t="s">
        <v>816</v>
      </c>
      <c r="D2900" s="35" t="s">
        <v>774</v>
      </c>
    </row>
    <row r="2901" spans="2:4" hidden="1" outlineLevel="1" x14ac:dyDescent="0.3">
      <c r="C2901" s="37" t="s">
        <v>817</v>
      </c>
      <c r="D2901" s="35" t="s">
        <v>775</v>
      </c>
    </row>
    <row r="2902" spans="2:4" hidden="1" outlineLevel="1" x14ac:dyDescent="0.3">
      <c r="C2902" s="37" t="s">
        <v>818</v>
      </c>
      <c r="D2902" s="35" t="s">
        <v>776</v>
      </c>
    </row>
    <row r="2903" spans="2:4" hidden="1" outlineLevel="1" x14ac:dyDescent="0.3">
      <c r="C2903" s="37" t="s">
        <v>819</v>
      </c>
      <c r="D2903" s="35" t="s">
        <v>777</v>
      </c>
    </row>
    <row r="2904" spans="2:4" collapsed="1" x14ac:dyDescent="0.3">
      <c r="B2904" s="43" t="s">
        <v>509</v>
      </c>
      <c r="C2904" t="s">
        <v>313</v>
      </c>
    </row>
    <row r="2905" spans="2:4" hidden="1" outlineLevel="1" x14ac:dyDescent="0.3">
      <c r="C2905" s="40" t="s">
        <v>779</v>
      </c>
      <c r="D2905" s="35" t="s">
        <v>745</v>
      </c>
    </row>
    <row r="2906" spans="2:4" hidden="1" outlineLevel="1" x14ac:dyDescent="0.3">
      <c r="C2906" s="41" t="s">
        <v>780</v>
      </c>
      <c r="D2906" s="42" t="s">
        <v>820</v>
      </c>
    </row>
    <row r="2907" spans="2:4" hidden="1" outlineLevel="1" x14ac:dyDescent="0.3">
      <c r="C2907" s="40" t="s">
        <v>781</v>
      </c>
      <c r="D2907" s="35" t="s">
        <v>746</v>
      </c>
    </row>
    <row r="2908" spans="2:4" hidden="1" outlineLevel="1" x14ac:dyDescent="0.3">
      <c r="C2908" s="41" t="s">
        <v>782</v>
      </c>
      <c r="D2908" s="35" t="s">
        <v>367</v>
      </c>
    </row>
    <row r="2909" spans="2:4" hidden="1" outlineLevel="1" x14ac:dyDescent="0.3">
      <c r="C2909" s="41" t="s">
        <v>785</v>
      </c>
      <c r="D2909" s="35" t="s">
        <v>68</v>
      </c>
    </row>
    <row r="2910" spans="2:4" hidden="1" outlineLevel="1" x14ac:dyDescent="0.3">
      <c r="C2910" s="41" t="s">
        <v>786</v>
      </c>
      <c r="D2910" s="35" t="s">
        <v>747</v>
      </c>
    </row>
    <row r="2911" spans="2:4" hidden="1" outlineLevel="1" x14ac:dyDescent="0.3">
      <c r="C2911" s="41" t="s">
        <v>783</v>
      </c>
      <c r="D2911" s="35" t="s">
        <v>11</v>
      </c>
    </row>
    <row r="2912" spans="2:4" hidden="1" outlineLevel="1" x14ac:dyDescent="0.3">
      <c r="C2912" s="41" t="s">
        <v>784</v>
      </c>
      <c r="D2912" s="35" t="s">
        <v>125</v>
      </c>
    </row>
    <row r="2913" spans="3:4" hidden="1" outlineLevel="1" x14ac:dyDescent="0.3">
      <c r="C2913" s="41" t="s">
        <v>787</v>
      </c>
      <c r="D2913" s="35" t="s">
        <v>748</v>
      </c>
    </row>
    <row r="2914" spans="3:4" hidden="1" outlineLevel="1" x14ac:dyDescent="0.3">
      <c r="C2914" s="37" t="s">
        <v>788</v>
      </c>
      <c r="D2914" s="35" t="s">
        <v>517</v>
      </c>
    </row>
    <row r="2915" spans="3:4" hidden="1" outlineLevel="1" x14ac:dyDescent="0.3">
      <c r="C2915" s="37" t="s">
        <v>789</v>
      </c>
      <c r="D2915" s="35" t="s">
        <v>386</v>
      </c>
    </row>
    <row r="2916" spans="3:4" hidden="1" outlineLevel="1" x14ac:dyDescent="0.3">
      <c r="C2916" s="37" t="s">
        <v>790</v>
      </c>
      <c r="D2916" s="35" t="s">
        <v>299</v>
      </c>
    </row>
    <row r="2917" spans="3:4" hidden="1" outlineLevel="1" x14ac:dyDescent="0.3">
      <c r="C2917" s="37" t="s">
        <v>791</v>
      </c>
      <c r="D2917" s="35" t="s">
        <v>749</v>
      </c>
    </row>
    <row r="2918" spans="3:4" hidden="1" outlineLevel="1" x14ac:dyDescent="0.3">
      <c r="C2918" s="37" t="s">
        <v>792</v>
      </c>
      <c r="D2918" s="35" t="s">
        <v>750</v>
      </c>
    </row>
    <row r="2919" spans="3:4" hidden="1" outlineLevel="1" x14ac:dyDescent="0.3">
      <c r="C2919" s="37" t="s">
        <v>793</v>
      </c>
      <c r="D2919" s="35" t="s">
        <v>751</v>
      </c>
    </row>
    <row r="2920" spans="3:4" hidden="1" outlineLevel="1" x14ac:dyDescent="0.3">
      <c r="C2920" s="37" t="s">
        <v>794</v>
      </c>
      <c r="D2920" s="35" t="s">
        <v>752</v>
      </c>
    </row>
    <row r="2921" spans="3:4" hidden="1" outlineLevel="1" x14ac:dyDescent="0.3">
      <c r="C2921" s="37" t="s">
        <v>795</v>
      </c>
      <c r="D2921" s="35" t="s">
        <v>753</v>
      </c>
    </row>
    <row r="2922" spans="3:4" hidden="1" outlineLevel="1" x14ac:dyDescent="0.3">
      <c r="C2922" s="37" t="s">
        <v>796</v>
      </c>
      <c r="D2922" s="35" t="s">
        <v>754</v>
      </c>
    </row>
    <row r="2923" spans="3:4" hidden="1" outlineLevel="1" x14ac:dyDescent="0.3">
      <c r="C2923" s="37" t="s">
        <v>797</v>
      </c>
      <c r="D2923" s="35" t="s">
        <v>755</v>
      </c>
    </row>
    <row r="2924" spans="3:4" hidden="1" outlineLevel="1" x14ac:dyDescent="0.3">
      <c r="C2924" s="37" t="s">
        <v>798</v>
      </c>
      <c r="D2924" s="35" t="s">
        <v>756</v>
      </c>
    </row>
    <row r="2925" spans="3:4" hidden="1" outlineLevel="1" x14ac:dyDescent="0.3">
      <c r="C2925" s="37" t="s">
        <v>799</v>
      </c>
      <c r="D2925" s="35" t="s">
        <v>757</v>
      </c>
    </row>
    <row r="2926" spans="3:4" hidden="1" outlineLevel="1" x14ac:dyDescent="0.3">
      <c r="C2926" s="37" t="s">
        <v>800</v>
      </c>
      <c r="D2926" s="35" t="s">
        <v>758</v>
      </c>
    </row>
    <row r="2927" spans="3:4" hidden="1" outlineLevel="1" x14ac:dyDescent="0.3">
      <c r="C2927" s="37" t="s">
        <v>801</v>
      </c>
      <c r="D2927" s="35" t="s">
        <v>759</v>
      </c>
    </row>
    <row r="2928" spans="3:4" hidden="1" outlineLevel="1" x14ac:dyDescent="0.3">
      <c r="C2928" s="37" t="s">
        <v>802</v>
      </c>
      <c r="D2928" s="35" t="s">
        <v>760</v>
      </c>
    </row>
    <row r="2929" spans="3:4" hidden="1" outlineLevel="1" x14ac:dyDescent="0.3">
      <c r="C2929" s="37" t="s">
        <v>803</v>
      </c>
      <c r="D2929" s="35" t="s">
        <v>761</v>
      </c>
    </row>
    <row r="2930" spans="3:4" hidden="1" outlineLevel="1" x14ac:dyDescent="0.3">
      <c r="C2930" s="37" t="s">
        <v>804</v>
      </c>
      <c r="D2930" s="35" t="s">
        <v>762</v>
      </c>
    </row>
    <row r="2931" spans="3:4" hidden="1" outlineLevel="1" x14ac:dyDescent="0.3">
      <c r="C2931" s="37" t="s">
        <v>805</v>
      </c>
      <c r="D2931" s="35" t="s">
        <v>763</v>
      </c>
    </row>
    <row r="2932" spans="3:4" hidden="1" outlineLevel="1" x14ac:dyDescent="0.3">
      <c r="C2932" s="37" t="s">
        <v>806</v>
      </c>
      <c r="D2932" s="35" t="s">
        <v>764</v>
      </c>
    </row>
    <row r="2933" spans="3:4" hidden="1" outlineLevel="1" x14ac:dyDescent="0.3">
      <c r="C2933" s="37" t="s">
        <v>807</v>
      </c>
      <c r="D2933" s="35" t="s">
        <v>765</v>
      </c>
    </row>
    <row r="2934" spans="3:4" hidden="1" outlineLevel="1" x14ac:dyDescent="0.3">
      <c r="C2934" s="37" t="s">
        <v>808</v>
      </c>
      <c r="D2934" s="35" t="s">
        <v>766</v>
      </c>
    </row>
    <row r="2935" spans="3:4" hidden="1" outlineLevel="1" x14ac:dyDescent="0.3">
      <c r="C2935" s="37" t="s">
        <v>809</v>
      </c>
      <c r="D2935" s="35" t="s">
        <v>767</v>
      </c>
    </row>
    <row r="2936" spans="3:4" hidden="1" outlineLevel="1" x14ac:dyDescent="0.3">
      <c r="C2936" s="37" t="s">
        <v>810</v>
      </c>
      <c r="D2936" s="35" t="s">
        <v>768</v>
      </c>
    </row>
    <row r="2937" spans="3:4" hidden="1" outlineLevel="1" x14ac:dyDescent="0.3">
      <c r="C2937" s="37" t="s">
        <v>811</v>
      </c>
      <c r="D2937" s="35" t="s">
        <v>769</v>
      </c>
    </row>
    <row r="2938" spans="3:4" hidden="1" outlineLevel="1" x14ac:dyDescent="0.3">
      <c r="C2938" s="37" t="s">
        <v>812</v>
      </c>
      <c r="D2938" s="35" t="s">
        <v>770</v>
      </c>
    </row>
    <row r="2939" spans="3:4" hidden="1" outlineLevel="1" x14ac:dyDescent="0.3">
      <c r="C2939" s="37" t="s">
        <v>813</v>
      </c>
      <c r="D2939" s="35" t="s">
        <v>771</v>
      </c>
    </row>
    <row r="2940" spans="3:4" hidden="1" outlineLevel="1" x14ac:dyDescent="0.3">
      <c r="C2940" s="37" t="s">
        <v>814</v>
      </c>
      <c r="D2940" s="35" t="s">
        <v>772</v>
      </c>
    </row>
    <row r="2941" spans="3:4" hidden="1" outlineLevel="1" x14ac:dyDescent="0.3">
      <c r="C2941" s="37" t="s">
        <v>815</v>
      </c>
      <c r="D2941" s="35" t="s">
        <v>773</v>
      </c>
    </row>
    <row r="2942" spans="3:4" hidden="1" outlineLevel="1" x14ac:dyDescent="0.3">
      <c r="C2942" s="37" t="s">
        <v>816</v>
      </c>
      <c r="D2942" s="35" t="s">
        <v>774</v>
      </c>
    </row>
    <row r="2943" spans="3:4" hidden="1" outlineLevel="1" x14ac:dyDescent="0.3">
      <c r="C2943" s="37" t="s">
        <v>817</v>
      </c>
      <c r="D2943" s="35" t="s">
        <v>775</v>
      </c>
    </row>
    <row r="2944" spans="3:4" hidden="1" outlineLevel="1" x14ac:dyDescent="0.3">
      <c r="C2944" s="37" t="s">
        <v>818</v>
      </c>
      <c r="D2944" s="35" t="s">
        <v>776</v>
      </c>
    </row>
    <row r="2945" spans="2:4" hidden="1" outlineLevel="1" x14ac:dyDescent="0.3">
      <c r="C2945" s="37" t="s">
        <v>819</v>
      </c>
      <c r="D2945" s="35" t="s">
        <v>777</v>
      </c>
    </row>
    <row r="2946" spans="2:4" collapsed="1" x14ac:dyDescent="0.3">
      <c r="B2946" s="43" t="s">
        <v>304</v>
      </c>
      <c r="C2946" t="s">
        <v>302</v>
      </c>
    </row>
    <row r="2947" spans="2:4" hidden="1" outlineLevel="1" x14ac:dyDescent="0.3">
      <c r="C2947" s="40" t="s">
        <v>779</v>
      </c>
      <c r="D2947" s="35" t="s">
        <v>745</v>
      </c>
    </row>
    <row r="2948" spans="2:4" hidden="1" outlineLevel="1" x14ac:dyDescent="0.3">
      <c r="C2948" s="41" t="s">
        <v>780</v>
      </c>
      <c r="D2948" s="42" t="s">
        <v>820</v>
      </c>
    </row>
    <row r="2949" spans="2:4" hidden="1" outlineLevel="1" x14ac:dyDescent="0.3">
      <c r="C2949" s="40" t="s">
        <v>781</v>
      </c>
      <c r="D2949" s="35" t="s">
        <v>746</v>
      </c>
    </row>
    <row r="2950" spans="2:4" hidden="1" outlineLevel="1" x14ac:dyDescent="0.3">
      <c r="C2950" s="41" t="s">
        <v>782</v>
      </c>
      <c r="D2950" s="35" t="s">
        <v>367</v>
      </c>
    </row>
    <row r="2951" spans="2:4" hidden="1" outlineLevel="1" x14ac:dyDescent="0.3">
      <c r="C2951" s="41" t="s">
        <v>785</v>
      </c>
      <c r="D2951" s="35" t="s">
        <v>68</v>
      </c>
    </row>
    <row r="2952" spans="2:4" hidden="1" outlineLevel="1" x14ac:dyDescent="0.3">
      <c r="C2952" s="41" t="s">
        <v>786</v>
      </c>
      <c r="D2952" s="35" t="s">
        <v>747</v>
      </c>
    </row>
    <row r="2953" spans="2:4" hidden="1" outlineLevel="1" x14ac:dyDescent="0.3">
      <c r="C2953" s="41" t="s">
        <v>783</v>
      </c>
      <c r="D2953" s="35" t="s">
        <v>11</v>
      </c>
    </row>
    <row r="2954" spans="2:4" hidden="1" outlineLevel="1" x14ac:dyDescent="0.3">
      <c r="C2954" s="41" t="s">
        <v>784</v>
      </c>
      <c r="D2954" s="35" t="s">
        <v>125</v>
      </c>
    </row>
    <row r="2955" spans="2:4" hidden="1" outlineLevel="1" x14ac:dyDescent="0.3">
      <c r="C2955" s="41" t="s">
        <v>787</v>
      </c>
      <c r="D2955" s="35" t="s">
        <v>748</v>
      </c>
    </row>
    <row r="2956" spans="2:4" hidden="1" outlineLevel="1" x14ac:dyDescent="0.3">
      <c r="C2956" s="37" t="s">
        <v>788</v>
      </c>
      <c r="D2956" s="35" t="s">
        <v>517</v>
      </c>
    </row>
    <row r="2957" spans="2:4" hidden="1" outlineLevel="1" x14ac:dyDescent="0.3">
      <c r="C2957" s="37" t="s">
        <v>789</v>
      </c>
      <c r="D2957" s="35" t="s">
        <v>386</v>
      </c>
    </row>
    <row r="2958" spans="2:4" hidden="1" outlineLevel="1" x14ac:dyDescent="0.3">
      <c r="C2958" s="37" t="s">
        <v>790</v>
      </c>
      <c r="D2958" s="35" t="s">
        <v>299</v>
      </c>
    </row>
    <row r="2959" spans="2:4" hidden="1" outlineLevel="1" x14ac:dyDescent="0.3">
      <c r="C2959" s="37" t="s">
        <v>791</v>
      </c>
      <c r="D2959" s="35" t="s">
        <v>749</v>
      </c>
    </row>
    <row r="2960" spans="2:4" hidden="1" outlineLevel="1" x14ac:dyDescent="0.3">
      <c r="C2960" s="37" t="s">
        <v>792</v>
      </c>
      <c r="D2960" s="35" t="s">
        <v>750</v>
      </c>
    </row>
    <row r="2961" spans="3:4" hidden="1" outlineLevel="1" x14ac:dyDescent="0.3">
      <c r="C2961" s="37" t="s">
        <v>793</v>
      </c>
      <c r="D2961" s="35" t="s">
        <v>751</v>
      </c>
    </row>
    <row r="2962" spans="3:4" hidden="1" outlineLevel="1" x14ac:dyDescent="0.3">
      <c r="C2962" s="37" t="s">
        <v>794</v>
      </c>
      <c r="D2962" s="35" t="s">
        <v>752</v>
      </c>
    </row>
    <row r="2963" spans="3:4" hidden="1" outlineLevel="1" x14ac:dyDescent="0.3">
      <c r="C2963" s="37" t="s">
        <v>795</v>
      </c>
      <c r="D2963" s="35" t="s">
        <v>753</v>
      </c>
    </row>
    <row r="2964" spans="3:4" hidden="1" outlineLevel="1" x14ac:dyDescent="0.3">
      <c r="C2964" s="37" t="s">
        <v>796</v>
      </c>
      <c r="D2964" s="35" t="s">
        <v>754</v>
      </c>
    </row>
    <row r="2965" spans="3:4" hidden="1" outlineLevel="1" x14ac:dyDescent="0.3">
      <c r="C2965" s="37" t="s">
        <v>797</v>
      </c>
      <c r="D2965" s="35" t="s">
        <v>755</v>
      </c>
    </row>
    <row r="2966" spans="3:4" hidden="1" outlineLevel="1" x14ac:dyDescent="0.3">
      <c r="C2966" s="37" t="s">
        <v>798</v>
      </c>
      <c r="D2966" s="35" t="s">
        <v>756</v>
      </c>
    </row>
    <row r="2967" spans="3:4" hidden="1" outlineLevel="1" x14ac:dyDescent="0.3">
      <c r="C2967" s="37" t="s">
        <v>799</v>
      </c>
      <c r="D2967" s="35" t="s">
        <v>757</v>
      </c>
    </row>
    <row r="2968" spans="3:4" hidden="1" outlineLevel="1" x14ac:dyDescent="0.3">
      <c r="C2968" s="37" t="s">
        <v>800</v>
      </c>
      <c r="D2968" s="35" t="s">
        <v>758</v>
      </c>
    </row>
    <row r="2969" spans="3:4" hidden="1" outlineLevel="1" x14ac:dyDescent="0.3">
      <c r="C2969" s="37" t="s">
        <v>801</v>
      </c>
      <c r="D2969" s="35" t="s">
        <v>759</v>
      </c>
    </row>
    <row r="2970" spans="3:4" hidden="1" outlineLevel="1" x14ac:dyDescent="0.3">
      <c r="C2970" s="37" t="s">
        <v>802</v>
      </c>
      <c r="D2970" s="35" t="s">
        <v>760</v>
      </c>
    </row>
    <row r="2971" spans="3:4" hidden="1" outlineLevel="1" x14ac:dyDescent="0.3">
      <c r="C2971" s="37" t="s">
        <v>803</v>
      </c>
      <c r="D2971" s="35" t="s">
        <v>761</v>
      </c>
    </row>
    <row r="2972" spans="3:4" hidden="1" outlineLevel="1" x14ac:dyDescent="0.3">
      <c r="C2972" s="37" t="s">
        <v>804</v>
      </c>
      <c r="D2972" s="35" t="s">
        <v>762</v>
      </c>
    </row>
    <row r="2973" spans="3:4" hidden="1" outlineLevel="1" x14ac:dyDescent="0.3">
      <c r="C2973" s="37" t="s">
        <v>805</v>
      </c>
      <c r="D2973" s="35" t="s">
        <v>763</v>
      </c>
    </row>
    <row r="2974" spans="3:4" hidden="1" outlineLevel="1" x14ac:dyDescent="0.3">
      <c r="C2974" s="37" t="s">
        <v>806</v>
      </c>
      <c r="D2974" s="35" t="s">
        <v>764</v>
      </c>
    </row>
    <row r="2975" spans="3:4" hidden="1" outlineLevel="1" x14ac:dyDescent="0.3">
      <c r="C2975" s="37" t="s">
        <v>807</v>
      </c>
      <c r="D2975" s="35" t="s">
        <v>765</v>
      </c>
    </row>
    <row r="2976" spans="3:4" hidden="1" outlineLevel="1" x14ac:dyDescent="0.3">
      <c r="C2976" s="37" t="s">
        <v>808</v>
      </c>
      <c r="D2976" s="35" t="s">
        <v>766</v>
      </c>
    </row>
    <row r="2977" spans="2:4" hidden="1" outlineLevel="1" x14ac:dyDescent="0.3">
      <c r="C2977" s="37" t="s">
        <v>809</v>
      </c>
      <c r="D2977" s="35" t="s">
        <v>767</v>
      </c>
    </row>
    <row r="2978" spans="2:4" hidden="1" outlineLevel="1" x14ac:dyDescent="0.3">
      <c r="C2978" s="37" t="s">
        <v>810</v>
      </c>
      <c r="D2978" s="35" t="s">
        <v>768</v>
      </c>
    </row>
    <row r="2979" spans="2:4" hidden="1" outlineLevel="1" x14ac:dyDescent="0.3">
      <c r="C2979" s="37" t="s">
        <v>811</v>
      </c>
      <c r="D2979" s="35" t="s">
        <v>769</v>
      </c>
    </row>
    <row r="2980" spans="2:4" hidden="1" outlineLevel="1" x14ac:dyDescent="0.3">
      <c r="C2980" s="37" t="s">
        <v>812</v>
      </c>
      <c r="D2980" s="35" t="s">
        <v>770</v>
      </c>
    </row>
    <row r="2981" spans="2:4" hidden="1" outlineLevel="1" x14ac:dyDescent="0.3">
      <c r="C2981" s="37" t="s">
        <v>813</v>
      </c>
      <c r="D2981" s="35" t="s">
        <v>771</v>
      </c>
    </row>
    <row r="2982" spans="2:4" hidden="1" outlineLevel="1" x14ac:dyDescent="0.3">
      <c r="C2982" s="37" t="s">
        <v>814</v>
      </c>
      <c r="D2982" s="35" t="s">
        <v>772</v>
      </c>
    </row>
    <row r="2983" spans="2:4" hidden="1" outlineLevel="1" x14ac:dyDescent="0.3">
      <c r="C2983" s="37" t="s">
        <v>815</v>
      </c>
      <c r="D2983" s="35" t="s">
        <v>773</v>
      </c>
    </row>
    <row r="2984" spans="2:4" hidden="1" outlineLevel="1" x14ac:dyDescent="0.3">
      <c r="C2984" s="37" t="s">
        <v>816</v>
      </c>
      <c r="D2984" s="35" t="s">
        <v>774</v>
      </c>
    </row>
    <row r="2985" spans="2:4" hidden="1" outlineLevel="1" x14ac:dyDescent="0.3">
      <c r="C2985" s="37" t="s">
        <v>817</v>
      </c>
      <c r="D2985" s="35" t="s">
        <v>775</v>
      </c>
    </row>
    <row r="2986" spans="2:4" hidden="1" outlineLevel="1" x14ac:dyDescent="0.3">
      <c r="C2986" s="37" t="s">
        <v>818</v>
      </c>
      <c r="D2986" s="35" t="s">
        <v>776</v>
      </c>
    </row>
    <row r="2987" spans="2:4" hidden="1" outlineLevel="1" x14ac:dyDescent="0.3">
      <c r="C2987" s="37" t="s">
        <v>819</v>
      </c>
      <c r="D2987" s="35" t="s">
        <v>777</v>
      </c>
    </row>
    <row r="2988" spans="2:4" collapsed="1" x14ac:dyDescent="0.3">
      <c r="B2988" s="43" t="s">
        <v>318</v>
      </c>
      <c r="C2988" t="s">
        <v>302</v>
      </c>
    </row>
    <row r="2989" spans="2:4" hidden="1" outlineLevel="1" x14ac:dyDescent="0.3">
      <c r="C2989" s="40" t="s">
        <v>779</v>
      </c>
      <c r="D2989" s="35" t="s">
        <v>745</v>
      </c>
    </row>
    <row r="2990" spans="2:4" hidden="1" outlineLevel="1" x14ac:dyDescent="0.3">
      <c r="C2990" s="41" t="s">
        <v>780</v>
      </c>
      <c r="D2990" s="42" t="s">
        <v>820</v>
      </c>
    </row>
    <row r="2991" spans="2:4" hidden="1" outlineLevel="1" x14ac:dyDescent="0.3">
      <c r="C2991" s="40" t="s">
        <v>781</v>
      </c>
      <c r="D2991" s="35" t="s">
        <v>746</v>
      </c>
    </row>
    <row r="2992" spans="2:4" hidden="1" outlineLevel="1" x14ac:dyDescent="0.3">
      <c r="C2992" s="41" t="s">
        <v>782</v>
      </c>
      <c r="D2992" s="35" t="s">
        <v>367</v>
      </c>
    </row>
    <row r="2993" spans="3:4" hidden="1" outlineLevel="1" x14ac:dyDescent="0.3">
      <c r="C2993" s="41" t="s">
        <v>785</v>
      </c>
      <c r="D2993" s="35" t="s">
        <v>68</v>
      </c>
    </row>
    <row r="2994" spans="3:4" hidden="1" outlineLevel="1" x14ac:dyDescent="0.3">
      <c r="C2994" s="41" t="s">
        <v>786</v>
      </c>
      <c r="D2994" s="35" t="s">
        <v>747</v>
      </c>
    </row>
    <row r="2995" spans="3:4" hidden="1" outlineLevel="1" x14ac:dyDescent="0.3">
      <c r="C2995" s="41" t="s">
        <v>783</v>
      </c>
      <c r="D2995" s="35" t="s">
        <v>11</v>
      </c>
    </row>
    <row r="2996" spans="3:4" hidden="1" outlineLevel="1" x14ac:dyDescent="0.3">
      <c r="C2996" s="41" t="s">
        <v>784</v>
      </c>
      <c r="D2996" s="35" t="s">
        <v>125</v>
      </c>
    </row>
    <row r="2997" spans="3:4" hidden="1" outlineLevel="1" x14ac:dyDescent="0.3">
      <c r="C2997" s="41" t="s">
        <v>787</v>
      </c>
      <c r="D2997" s="35" t="s">
        <v>748</v>
      </c>
    </row>
    <row r="2998" spans="3:4" hidden="1" outlineLevel="1" x14ac:dyDescent="0.3">
      <c r="C2998" s="37" t="s">
        <v>788</v>
      </c>
      <c r="D2998" s="35" t="s">
        <v>517</v>
      </c>
    </row>
    <row r="2999" spans="3:4" hidden="1" outlineLevel="1" x14ac:dyDescent="0.3">
      <c r="C2999" s="37" t="s">
        <v>789</v>
      </c>
      <c r="D2999" s="35" t="s">
        <v>386</v>
      </c>
    </row>
    <row r="3000" spans="3:4" hidden="1" outlineLevel="1" x14ac:dyDescent="0.3">
      <c r="C3000" s="37" t="s">
        <v>790</v>
      </c>
      <c r="D3000" s="35" t="s">
        <v>299</v>
      </c>
    </row>
    <row r="3001" spans="3:4" hidden="1" outlineLevel="1" x14ac:dyDescent="0.3">
      <c r="C3001" s="37" t="s">
        <v>791</v>
      </c>
      <c r="D3001" s="35" t="s">
        <v>749</v>
      </c>
    </row>
    <row r="3002" spans="3:4" hidden="1" outlineLevel="1" x14ac:dyDescent="0.3">
      <c r="C3002" s="37" t="s">
        <v>792</v>
      </c>
      <c r="D3002" s="35" t="s">
        <v>750</v>
      </c>
    </row>
    <row r="3003" spans="3:4" hidden="1" outlineLevel="1" x14ac:dyDescent="0.3">
      <c r="C3003" s="37" t="s">
        <v>793</v>
      </c>
      <c r="D3003" s="35" t="s">
        <v>751</v>
      </c>
    </row>
    <row r="3004" spans="3:4" hidden="1" outlineLevel="1" x14ac:dyDescent="0.3">
      <c r="C3004" s="37" t="s">
        <v>794</v>
      </c>
      <c r="D3004" s="35" t="s">
        <v>752</v>
      </c>
    </row>
    <row r="3005" spans="3:4" hidden="1" outlineLevel="1" x14ac:dyDescent="0.3">
      <c r="C3005" s="37" t="s">
        <v>795</v>
      </c>
      <c r="D3005" s="35" t="s">
        <v>753</v>
      </c>
    </row>
    <row r="3006" spans="3:4" hidden="1" outlineLevel="1" x14ac:dyDescent="0.3">
      <c r="C3006" s="37" t="s">
        <v>796</v>
      </c>
      <c r="D3006" s="35" t="s">
        <v>754</v>
      </c>
    </row>
    <row r="3007" spans="3:4" hidden="1" outlineLevel="1" x14ac:dyDescent="0.3">
      <c r="C3007" s="37" t="s">
        <v>797</v>
      </c>
      <c r="D3007" s="35" t="s">
        <v>755</v>
      </c>
    </row>
    <row r="3008" spans="3:4" hidden="1" outlineLevel="1" x14ac:dyDescent="0.3">
      <c r="C3008" s="37" t="s">
        <v>798</v>
      </c>
      <c r="D3008" s="35" t="s">
        <v>756</v>
      </c>
    </row>
    <row r="3009" spans="3:4" hidden="1" outlineLevel="1" x14ac:dyDescent="0.3">
      <c r="C3009" s="37" t="s">
        <v>799</v>
      </c>
      <c r="D3009" s="35" t="s">
        <v>757</v>
      </c>
    </row>
    <row r="3010" spans="3:4" hidden="1" outlineLevel="1" x14ac:dyDescent="0.3">
      <c r="C3010" s="37" t="s">
        <v>800</v>
      </c>
      <c r="D3010" s="35" t="s">
        <v>758</v>
      </c>
    </row>
    <row r="3011" spans="3:4" hidden="1" outlineLevel="1" x14ac:dyDescent="0.3">
      <c r="C3011" s="37" t="s">
        <v>801</v>
      </c>
      <c r="D3011" s="35" t="s">
        <v>759</v>
      </c>
    </row>
    <row r="3012" spans="3:4" hidden="1" outlineLevel="1" x14ac:dyDescent="0.3">
      <c r="C3012" s="37" t="s">
        <v>802</v>
      </c>
      <c r="D3012" s="35" t="s">
        <v>760</v>
      </c>
    </row>
    <row r="3013" spans="3:4" hidden="1" outlineLevel="1" x14ac:dyDescent="0.3">
      <c r="C3013" s="37" t="s">
        <v>803</v>
      </c>
      <c r="D3013" s="35" t="s">
        <v>761</v>
      </c>
    </row>
    <row r="3014" spans="3:4" hidden="1" outlineLevel="1" x14ac:dyDescent="0.3">
      <c r="C3014" s="37" t="s">
        <v>804</v>
      </c>
      <c r="D3014" s="35" t="s">
        <v>762</v>
      </c>
    </row>
    <row r="3015" spans="3:4" hidden="1" outlineLevel="1" x14ac:dyDescent="0.3">
      <c r="C3015" s="37" t="s">
        <v>805</v>
      </c>
      <c r="D3015" s="35" t="s">
        <v>763</v>
      </c>
    </row>
    <row r="3016" spans="3:4" hidden="1" outlineLevel="1" x14ac:dyDescent="0.3">
      <c r="C3016" s="37" t="s">
        <v>806</v>
      </c>
      <c r="D3016" s="35" t="s">
        <v>764</v>
      </c>
    </row>
    <row r="3017" spans="3:4" hidden="1" outlineLevel="1" x14ac:dyDescent="0.3">
      <c r="C3017" s="37" t="s">
        <v>807</v>
      </c>
      <c r="D3017" s="35" t="s">
        <v>765</v>
      </c>
    </row>
    <row r="3018" spans="3:4" hidden="1" outlineLevel="1" x14ac:dyDescent="0.3">
      <c r="C3018" s="37" t="s">
        <v>808</v>
      </c>
      <c r="D3018" s="35" t="s">
        <v>766</v>
      </c>
    </row>
    <row r="3019" spans="3:4" hidden="1" outlineLevel="1" x14ac:dyDescent="0.3">
      <c r="C3019" s="37" t="s">
        <v>809</v>
      </c>
      <c r="D3019" s="35" t="s">
        <v>767</v>
      </c>
    </row>
    <row r="3020" spans="3:4" hidden="1" outlineLevel="1" x14ac:dyDescent="0.3">
      <c r="C3020" s="37" t="s">
        <v>810</v>
      </c>
      <c r="D3020" s="35" t="s">
        <v>768</v>
      </c>
    </row>
    <row r="3021" spans="3:4" hidden="1" outlineLevel="1" x14ac:dyDescent="0.3">
      <c r="C3021" s="37" t="s">
        <v>811</v>
      </c>
      <c r="D3021" s="35" t="s">
        <v>769</v>
      </c>
    </row>
    <row r="3022" spans="3:4" hidden="1" outlineLevel="1" x14ac:dyDescent="0.3">
      <c r="C3022" s="37" t="s">
        <v>812</v>
      </c>
      <c r="D3022" s="35" t="s">
        <v>770</v>
      </c>
    </row>
    <row r="3023" spans="3:4" hidden="1" outlineLevel="1" x14ac:dyDescent="0.3">
      <c r="C3023" s="37" t="s">
        <v>813</v>
      </c>
      <c r="D3023" s="35" t="s">
        <v>771</v>
      </c>
    </row>
    <row r="3024" spans="3:4" hidden="1" outlineLevel="1" x14ac:dyDescent="0.3">
      <c r="C3024" s="37" t="s">
        <v>814</v>
      </c>
      <c r="D3024" s="35" t="s">
        <v>772</v>
      </c>
    </row>
    <row r="3025" spans="2:4" hidden="1" outlineLevel="1" x14ac:dyDescent="0.3">
      <c r="C3025" s="37" t="s">
        <v>815</v>
      </c>
      <c r="D3025" s="35" t="s">
        <v>773</v>
      </c>
    </row>
    <row r="3026" spans="2:4" hidden="1" outlineLevel="1" x14ac:dyDescent="0.3">
      <c r="C3026" s="37" t="s">
        <v>816</v>
      </c>
      <c r="D3026" s="35" t="s">
        <v>774</v>
      </c>
    </row>
    <row r="3027" spans="2:4" hidden="1" outlineLevel="1" x14ac:dyDescent="0.3">
      <c r="C3027" s="37" t="s">
        <v>817</v>
      </c>
      <c r="D3027" s="35" t="s">
        <v>775</v>
      </c>
    </row>
    <row r="3028" spans="2:4" hidden="1" outlineLevel="1" x14ac:dyDescent="0.3">
      <c r="C3028" s="37" t="s">
        <v>818</v>
      </c>
      <c r="D3028" s="35" t="s">
        <v>776</v>
      </c>
    </row>
    <row r="3029" spans="2:4" hidden="1" outlineLevel="1" x14ac:dyDescent="0.3">
      <c r="C3029" s="37" t="s">
        <v>819</v>
      </c>
      <c r="D3029" s="35" t="s">
        <v>777</v>
      </c>
    </row>
    <row r="3030" spans="2:4" collapsed="1" x14ac:dyDescent="0.3">
      <c r="B3030" s="43" t="s">
        <v>140</v>
      </c>
      <c r="C3030" t="s">
        <v>18</v>
      </c>
    </row>
    <row r="3031" spans="2:4" hidden="1" outlineLevel="1" x14ac:dyDescent="0.3">
      <c r="C3031" s="40" t="s">
        <v>779</v>
      </c>
      <c r="D3031" s="35" t="s">
        <v>745</v>
      </c>
    </row>
    <row r="3032" spans="2:4" hidden="1" outlineLevel="1" x14ac:dyDescent="0.3">
      <c r="C3032" s="41" t="s">
        <v>780</v>
      </c>
      <c r="D3032" s="42" t="s">
        <v>820</v>
      </c>
    </row>
    <row r="3033" spans="2:4" hidden="1" outlineLevel="1" x14ac:dyDescent="0.3">
      <c r="C3033" s="40" t="s">
        <v>781</v>
      </c>
      <c r="D3033" s="35" t="s">
        <v>746</v>
      </c>
    </row>
    <row r="3034" spans="2:4" hidden="1" outlineLevel="1" x14ac:dyDescent="0.3">
      <c r="C3034" s="41" t="s">
        <v>782</v>
      </c>
      <c r="D3034" s="35" t="s">
        <v>367</v>
      </c>
    </row>
    <row r="3035" spans="2:4" hidden="1" outlineLevel="1" x14ac:dyDescent="0.3">
      <c r="C3035" s="41" t="s">
        <v>785</v>
      </c>
      <c r="D3035" s="35" t="s">
        <v>68</v>
      </c>
    </row>
    <row r="3036" spans="2:4" hidden="1" outlineLevel="1" x14ac:dyDescent="0.3">
      <c r="C3036" s="41" t="s">
        <v>786</v>
      </c>
      <c r="D3036" s="35" t="s">
        <v>747</v>
      </c>
    </row>
    <row r="3037" spans="2:4" hidden="1" outlineLevel="1" x14ac:dyDescent="0.3">
      <c r="C3037" s="41" t="s">
        <v>783</v>
      </c>
      <c r="D3037" s="35" t="s">
        <v>11</v>
      </c>
    </row>
    <row r="3038" spans="2:4" hidden="1" outlineLevel="1" x14ac:dyDescent="0.3">
      <c r="C3038" s="41" t="s">
        <v>784</v>
      </c>
      <c r="D3038" s="35" t="s">
        <v>125</v>
      </c>
    </row>
    <row r="3039" spans="2:4" hidden="1" outlineLevel="1" x14ac:dyDescent="0.3">
      <c r="C3039" s="41" t="s">
        <v>787</v>
      </c>
      <c r="D3039" s="35" t="s">
        <v>748</v>
      </c>
    </row>
    <row r="3040" spans="2:4" hidden="1" outlineLevel="1" x14ac:dyDescent="0.3">
      <c r="C3040" s="37" t="s">
        <v>788</v>
      </c>
      <c r="D3040" s="35" t="s">
        <v>517</v>
      </c>
    </row>
    <row r="3041" spans="3:4" hidden="1" outlineLevel="1" x14ac:dyDescent="0.3">
      <c r="C3041" s="37" t="s">
        <v>789</v>
      </c>
      <c r="D3041" s="35" t="s">
        <v>386</v>
      </c>
    </row>
    <row r="3042" spans="3:4" hidden="1" outlineLevel="1" x14ac:dyDescent="0.3">
      <c r="C3042" s="37" t="s">
        <v>790</v>
      </c>
      <c r="D3042" s="35" t="s">
        <v>299</v>
      </c>
    </row>
    <row r="3043" spans="3:4" hidden="1" outlineLevel="1" x14ac:dyDescent="0.3">
      <c r="C3043" s="37" t="s">
        <v>791</v>
      </c>
      <c r="D3043" s="35" t="s">
        <v>749</v>
      </c>
    </row>
    <row r="3044" spans="3:4" hidden="1" outlineLevel="1" x14ac:dyDescent="0.3">
      <c r="C3044" s="37" t="s">
        <v>792</v>
      </c>
      <c r="D3044" s="35" t="s">
        <v>750</v>
      </c>
    </row>
    <row r="3045" spans="3:4" hidden="1" outlineLevel="1" x14ac:dyDescent="0.3">
      <c r="C3045" s="37" t="s">
        <v>793</v>
      </c>
      <c r="D3045" s="35" t="s">
        <v>751</v>
      </c>
    </row>
    <row r="3046" spans="3:4" hidden="1" outlineLevel="1" x14ac:dyDescent="0.3">
      <c r="C3046" s="37" t="s">
        <v>794</v>
      </c>
      <c r="D3046" s="35" t="s">
        <v>752</v>
      </c>
    </row>
    <row r="3047" spans="3:4" hidden="1" outlineLevel="1" x14ac:dyDescent="0.3">
      <c r="C3047" s="37" t="s">
        <v>795</v>
      </c>
      <c r="D3047" s="35" t="s">
        <v>753</v>
      </c>
    </row>
    <row r="3048" spans="3:4" hidden="1" outlineLevel="1" x14ac:dyDescent="0.3">
      <c r="C3048" s="37" t="s">
        <v>796</v>
      </c>
      <c r="D3048" s="35" t="s">
        <v>754</v>
      </c>
    </row>
    <row r="3049" spans="3:4" hidden="1" outlineLevel="1" x14ac:dyDescent="0.3">
      <c r="C3049" s="37" t="s">
        <v>797</v>
      </c>
      <c r="D3049" s="35" t="s">
        <v>755</v>
      </c>
    </row>
    <row r="3050" spans="3:4" hidden="1" outlineLevel="1" x14ac:dyDescent="0.3">
      <c r="C3050" s="37" t="s">
        <v>798</v>
      </c>
      <c r="D3050" s="35" t="s">
        <v>756</v>
      </c>
    </row>
    <row r="3051" spans="3:4" hidden="1" outlineLevel="1" x14ac:dyDescent="0.3">
      <c r="C3051" s="37" t="s">
        <v>799</v>
      </c>
      <c r="D3051" s="35" t="s">
        <v>757</v>
      </c>
    </row>
    <row r="3052" spans="3:4" hidden="1" outlineLevel="1" x14ac:dyDescent="0.3">
      <c r="C3052" s="37" t="s">
        <v>800</v>
      </c>
      <c r="D3052" s="35" t="s">
        <v>758</v>
      </c>
    </row>
    <row r="3053" spans="3:4" hidden="1" outlineLevel="1" x14ac:dyDescent="0.3">
      <c r="C3053" s="37" t="s">
        <v>801</v>
      </c>
      <c r="D3053" s="35" t="s">
        <v>759</v>
      </c>
    </row>
    <row r="3054" spans="3:4" hidden="1" outlineLevel="1" x14ac:dyDescent="0.3">
      <c r="C3054" s="37" t="s">
        <v>802</v>
      </c>
      <c r="D3054" s="35" t="s">
        <v>760</v>
      </c>
    </row>
    <row r="3055" spans="3:4" hidden="1" outlineLevel="1" x14ac:dyDescent="0.3">
      <c r="C3055" s="37" t="s">
        <v>803</v>
      </c>
      <c r="D3055" s="35" t="s">
        <v>761</v>
      </c>
    </row>
    <row r="3056" spans="3:4" hidden="1" outlineLevel="1" x14ac:dyDescent="0.3">
      <c r="C3056" s="37" t="s">
        <v>804</v>
      </c>
      <c r="D3056" s="35" t="s">
        <v>762</v>
      </c>
    </row>
    <row r="3057" spans="2:4" hidden="1" outlineLevel="1" x14ac:dyDescent="0.3">
      <c r="C3057" s="37" t="s">
        <v>805</v>
      </c>
      <c r="D3057" s="35" t="s">
        <v>763</v>
      </c>
    </row>
    <row r="3058" spans="2:4" hidden="1" outlineLevel="1" x14ac:dyDescent="0.3">
      <c r="C3058" s="37" t="s">
        <v>806</v>
      </c>
      <c r="D3058" s="35" t="s">
        <v>764</v>
      </c>
    </row>
    <row r="3059" spans="2:4" hidden="1" outlineLevel="1" x14ac:dyDescent="0.3">
      <c r="C3059" s="37" t="s">
        <v>807</v>
      </c>
      <c r="D3059" s="35" t="s">
        <v>765</v>
      </c>
    </row>
    <row r="3060" spans="2:4" hidden="1" outlineLevel="1" x14ac:dyDescent="0.3">
      <c r="C3060" s="37" t="s">
        <v>808</v>
      </c>
      <c r="D3060" s="35" t="s">
        <v>766</v>
      </c>
    </row>
    <row r="3061" spans="2:4" hidden="1" outlineLevel="1" x14ac:dyDescent="0.3">
      <c r="C3061" s="37" t="s">
        <v>809</v>
      </c>
      <c r="D3061" s="35" t="s">
        <v>767</v>
      </c>
    </row>
    <row r="3062" spans="2:4" hidden="1" outlineLevel="1" x14ac:dyDescent="0.3">
      <c r="C3062" s="37" t="s">
        <v>810</v>
      </c>
      <c r="D3062" s="35" t="s">
        <v>768</v>
      </c>
    </row>
    <row r="3063" spans="2:4" hidden="1" outlineLevel="1" x14ac:dyDescent="0.3">
      <c r="C3063" s="37" t="s">
        <v>811</v>
      </c>
      <c r="D3063" s="35" t="s">
        <v>769</v>
      </c>
    </row>
    <row r="3064" spans="2:4" hidden="1" outlineLevel="1" x14ac:dyDescent="0.3">
      <c r="C3064" s="37" t="s">
        <v>812</v>
      </c>
      <c r="D3064" s="35" t="s">
        <v>770</v>
      </c>
    </row>
    <row r="3065" spans="2:4" hidden="1" outlineLevel="1" x14ac:dyDescent="0.3">
      <c r="C3065" s="37" t="s">
        <v>813</v>
      </c>
      <c r="D3065" s="35" t="s">
        <v>771</v>
      </c>
    </row>
    <row r="3066" spans="2:4" hidden="1" outlineLevel="1" x14ac:dyDescent="0.3">
      <c r="C3066" s="37" t="s">
        <v>814</v>
      </c>
      <c r="D3066" s="35" t="s">
        <v>772</v>
      </c>
    </row>
    <row r="3067" spans="2:4" hidden="1" outlineLevel="1" x14ac:dyDescent="0.3">
      <c r="C3067" s="37" t="s">
        <v>815</v>
      </c>
      <c r="D3067" s="35" t="s">
        <v>773</v>
      </c>
    </row>
    <row r="3068" spans="2:4" hidden="1" outlineLevel="1" x14ac:dyDescent="0.3">
      <c r="C3068" s="37" t="s">
        <v>816</v>
      </c>
      <c r="D3068" s="35" t="s">
        <v>774</v>
      </c>
    </row>
    <row r="3069" spans="2:4" hidden="1" outlineLevel="1" x14ac:dyDescent="0.3">
      <c r="C3069" s="37" t="s">
        <v>817</v>
      </c>
      <c r="D3069" s="35" t="s">
        <v>775</v>
      </c>
    </row>
    <row r="3070" spans="2:4" hidden="1" outlineLevel="1" x14ac:dyDescent="0.3">
      <c r="C3070" s="37" t="s">
        <v>818</v>
      </c>
      <c r="D3070" s="35" t="s">
        <v>776</v>
      </c>
    </row>
    <row r="3071" spans="2:4" hidden="1" outlineLevel="1" x14ac:dyDescent="0.3">
      <c r="C3071" s="37" t="s">
        <v>819</v>
      </c>
      <c r="D3071" s="35" t="s">
        <v>777</v>
      </c>
    </row>
    <row r="3072" spans="2:4" collapsed="1" x14ac:dyDescent="0.3">
      <c r="B3072" s="43" t="s">
        <v>276</v>
      </c>
      <c r="C3072" t="s">
        <v>18</v>
      </c>
    </row>
    <row r="3073" spans="3:4" hidden="1" outlineLevel="1" x14ac:dyDescent="0.3">
      <c r="C3073" s="40" t="s">
        <v>779</v>
      </c>
      <c r="D3073" s="35" t="s">
        <v>745</v>
      </c>
    </row>
    <row r="3074" spans="3:4" hidden="1" outlineLevel="1" x14ac:dyDescent="0.3">
      <c r="C3074" s="41" t="s">
        <v>780</v>
      </c>
      <c r="D3074" s="42" t="s">
        <v>820</v>
      </c>
    </row>
    <row r="3075" spans="3:4" hidden="1" outlineLevel="1" x14ac:dyDescent="0.3">
      <c r="C3075" s="40" t="s">
        <v>781</v>
      </c>
      <c r="D3075" s="35" t="s">
        <v>746</v>
      </c>
    </row>
    <row r="3076" spans="3:4" hidden="1" outlineLevel="1" x14ac:dyDescent="0.3">
      <c r="C3076" s="41" t="s">
        <v>782</v>
      </c>
      <c r="D3076" s="35" t="s">
        <v>367</v>
      </c>
    </row>
    <row r="3077" spans="3:4" hidden="1" outlineLevel="1" x14ac:dyDescent="0.3">
      <c r="C3077" s="41" t="s">
        <v>785</v>
      </c>
      <c r="D3077" s="35" t="s">
        <v>68</v>
      </c>
    </row>
    <row r="3078" spans="3:4" hidden="1" outlineLevel="1" x14ac:dyDescent="0.3">
      <c r="C3078" s="41" t="s">
        <v>786</v>
      </c>
      <c r="D3078" s="35" t="s">
        <v>747</v>
      </c>
    </row>
    <row r="3079" spans="3:4" hidden="1" outlineLevel="1" x14ac:dyDescent="0.3">
      <c r="C3079" s="41" t="s">
        <v>783</v>
      </c>
      <c r="D3079" s="35" t="s">
        <v>11</v>
      </c>
    </row>
    <row r="3080" spans="3:4" hidden="1" outlineLevel="1" x14ac:dyDescent="0.3">
      <c r="C3080" s="41" t="s">
        <v>784</v>
      </c>
      <c r="D3080" s="35" t="s">
        <v>125</v>
      </c>
    </row>
    <row r="3081" spans="3:4" hidden="1" outlineLevel="1" x14ac:dyDescent="0.3">
      <c r="C3081" s="41" t="s">
        <v>787</v>
      </c>
      <c r="D3081" s="35" t="s">
        <v>748</v>
      </c>
    </row>
    <row r="3082" spans="3:4" hidden="1" outlineLevel="1" x14ac:dyDescent="0.3">
      <c r="C3082" s="37" t="s">
        <v>788</v>
      </c>
      <c r="D3082" s="35" t="s">
        <v>517</v>
      </c>
    </row>
    <row r="3083" spans="3:4" hidden="1" outlineLevel="1" x14ac:dyDescent="0.3">
      <c r="C3083" s="37" t="s">
        <v>789</v>
      </c>
      <c r="D3083" s="35" t="s">
        <v>386</v>
      </c>
    </row>
    <row r="3084" spans="3:4" hidden="1" outlineLevel="1" x14ac:dyDescent="0.3">
      <c r="C3084" s="37" t="s">
        <v>790</v>
      </c>
      <c r="D3084" s="35" t="s">
        <v>299</v>
      </c>
    </row>
    <row r="3085" spans="3:4" hidden="1" outlineLevel="1" x14ac:dyDescent="0.3">
      <c r="C3085" s="37" t="s">
        <v>791</v>
      </c>
      <c r="D3085" s="35" t="s">
        <v>749</v>
      </c>
    </row>
    <row r="3086" spans="3:4" hidden="1" outlineLevel="1" x14ac:dyDescent="0.3">
      <c r="C3086" s="37" t="s">
        <v>792</v>
      </c>
      <c r="D3086" s="35" t="s">
        <v>750</v>
      </c>
    </row>
    <row r="3087" spans="3:4" hidden="1" outlineLevel="1" x14ac:dyDescent="0.3">
      <c r="C3087" s="37" t="s">
        <v>793</v>
      </c>
      <c r="D3087" s="35" t="s">
        <v>751</v>
      </c>
    </row>
    <row r="3088" spans="3:4" hidden="1" outlineLevel="1" x14ac:dyDescent="0.3">
      <c r="C3088" s="37" t="s">
        <v>794</v>
      </c>
      <c r="D3088" s="35" t="s">
        <v>752</v>
      </c>
    </row>
    <row r="3089" spans="3:4" hidden="1" outlineLevel="1" x14ac:dyDescent="0.3">
      <c r="C3089" s="37" t="s">
        <v>795</v>
      </c>
      <c r="D3089" s="35" t="s">
        <v>753</v>
      </c>
    </row>
    <row r="3090" spans="3:4" hidden="1" outlineLevel="1" x14ac:dyDescent="0.3">
      <c r="C3090" s="37" t="s">
        <v>796</v>
      </c>
      <c r="D3090" s="35" t="s">
        <v>754</v>
      </c>
    </row>
    <row r="3091" spans="3:4" hidden="1" outlineLevel="1" x14ac:dyDescent="0.3">
      <c r="C3091" s="37" t="s">
        <v>797</v>
      </c>
      <c r="D3091" s="35" t="s">
        <v>755</v>
      </c>
    </row>
    <row r="3092" spans="3:4" hidden="1" outlineLevel="1" x14ac:dyDescent="0.3">
      <c r="C3092" s="37" t="s">
        <v>798</v>
      </c>
      <c r="D3092" s="35" t="s">
        <v>756</v>
      </c>
    </row>
    <row r="3093" spans="3:4" hidden="1" outlineLevel="1" x14ac:dyDescent="0.3">
      <c r="C3093" s="37" t="s">
        <v>799</v>
      </c>
      <c r="D3093" s="35" t="s">
        <v>757</v>
      </c>
    </row>
    <row r="3094" spans="3:4" hidden="1" outlineLevel="1" x14ac:dyDescent="0.3">
      <c r="C3094" s="37" t="s">
        <v>800</v>
      </c>
      <c r="D3094" s="35" t="s">
        <v>758</v>
      </c>
    </row>
    <row r="3095" spans="3:4" hidden="1" outlineLevel="1" x14ac:dyDescent="0.3">
      <c r="C3095" s="37" t="s">
        <v>801</v>
      </c>
      <c r="D3095" s="35" t="s">
        <v>759</v>
      </c>
    </row>
    <row r="3096" spans="3:4" hidden="1" outlineLevel="1" x14ac:dyDescent="0.3">
      <c r="C3096" s="37" t="s">
        <v>802</v>
      </c>
      <c r="D3096" s="35" t="s">
        <v>760</v>
      </c>
    </row>
    <row r="3097" spans="3:4" hidden="1" outlineLevel="1" x14ac:dyDescent="0.3">
      <c r="C3097" s="37" t="s">
        <v>803</v>
      </c>
      <c r="D3097" s="35" t="s">
        <v>761</v>
      </c>
    </row>
    <row r="3098" spans="3:4" hidden="1" outlineLevel="1" x14ac:dyDescent="0.3">
      <c r="C3098" s="37" t="s">
        <v>804</v>
      </c>
      <c r="D3098" s="35" t="s">
        <v>762</v>
      </c>
    </row>
    <row r="3099" spans="3:4" hidden="1" outlineLevel="1" x14ac:dyDescent="0.3">
      <c r="C3099" s="37" t="s">
        <v>805</v>
      </c>
      <c r="D3099" s="35" t="s">
        <v>763</v>
      </c>
    </row>
    <row r="3100" spans="3:4" hidden="1" outlineLevel="1" x14ac:dyDescent="0.3">
      <c r="C3100" s="37" t="s">
        <v>806</v>
      </c>
      <c r="D3100" s="35" t="s">
        <v>764</v>
      </c>
    </row>
    <row r="3101" spans="3:4" hidden="1" outlineLevel="1" x14ac:dyDescent="0.3">
      <c r="C3101" s="37" t="s">
        <v>807</v>
      </c>
      <c r="D3101" s="35" t="s">
        <v>765</v>
      </c>
    </row>
    <row r="3102" spans="3:4" hidden="1" outlineLevel="1" x14ac:dyDescent="0.3">
      <c r="C3102" s="37" t="s">
        <v>808</v>
      </c>
      <c r="D3102" s="35" t="s">
        <v>766</v>
      </c>
    </row>
    <row r="3103" spans="3:4" hidden="1" outlineLevel="1" x14ac:dyDescent="0.3">
      <c r="C3103" s="37" t="s">
        <v>809</v>
      </c>
      <c r="D3103" s="35" t="s">
        <v>767</v>
      </c>
    </row>
    <row r="3104" spans="3:4" hidden="1" outlineLevel="1" x14ac:dyDescent="0.3">
      <c r="C3104" s="37" t="s">
        <v>810</v>
      </c>
      <c r="D3104" s="35" t="s">
        <v>768</v>
      </c>
    </row>
    <row r="3105" spans="2:4" hidden="1" outlineLevel="1" x14ac:dyDescent="0.3">
      <c r="C3105" s="37" t="s">
        <v>811</v>
      </c>
      <c r="D3105" s="35" t="s">
        <v>769</v>
      </c>
    </row>
    <row r="3106" spans="2:4" hidden="1" outlineLevel="1" x14ac:dyDescent="0.3">
      <c r="C3106" s="37" t="s">
        <v>812</v>
      </c>
      <c r="D3106" s="35" t="s">
        <v>770</v>
      </c>
    </row>
    <row r="3107" spans="2:4" hidden="1" outlineLevel="1" x14ac:dyDescent="0.3">
      <c r="C3107" s="37" t="s">
        <v>813</v>
      </c>
      <c r="D3107" s="35" t="s">
        <v>771</v>
      </c>
    </row>
    <row r="3108" spans="2:4" hidden="1" outlineLevel="1" x14ac:dyDescent="0.3">
      <c r="C3108" s="37" t="s">
        <v>814</v>
      </c>
      <c r="D3108" s="35" t="s">
        <v>772</v>
      </c>
    </row>
    <row r="3109" spans="2:4" hidden="1" outlineLevel="1" x14ac:dyDescent="0.3">
      <c r="C3109" s="37" t="s">
        <v>815</v>
      </c>
      <c r="D3109" s="35" t="s">
        <v>773</v>
      </c>
    </row>
    <row r="3110" spans="2:4" hidden="1" outlineLevel="1" x14ac:dyDescent="0.3">
      <c r="C3110" s="37" t="s">
        <v>816</v>
      </c>
      <c r="D3110" s="35" t="s">
        <v>774</v>
      </c>
    </row>
    <row r="3111" spans="2:4" hidden="1" outlineLevel="1" x14ac:dyDescent="0.3">
      <c r="C3111" s="37" t="s">
        <v>817</v>
      </c>
      <c r="D3111" s="35" t="s">
        <v>775</v>
      </c>
    </row>
    <row r="3112" spans="2:4" hidden="1" outlineLevel="1" x14ac:dyDescent="0.3">
      <c r="C3112" s="37" t="s">
        <v>818</v>
      </c>
      <c r="D3112" s="35" t="s">
        <v>776</v>
      </c>
    </row>
    <row r="3113" spans="2:4" hidden="1" outlineLevel="1" x14ac:dyDescent="0.3">
      <c r="C3113" s="37" t="s">
        <v>819</v>
      </c>
      <c r="D3113" s="35" t="s">
        <v>777</v>
      </c>
    </row>
    <row r="3114" spans="2:4" collapsed="1" x14ac:dyDescent="0.3">
      <c r="B3114" s="43" t="s">
        <v>45</v>
      </c>
      <c r="C3114" t="s">
        <v>18</v>
      </c>
    </row>
    <row r="3115" spans="2:4" hidden="1" outlineLevel="1" x14ac:dyDescent="0.3">
      <c r="C3115" s="40" t="s">
        <v>779</v>
      </c>
      <c r="D3115" s="35" t="s">
        <v>745</v>
      </c>
    </row>
    <row r="3116" spans="2:4" hidden="1" outlineLevel="1" x14ac:dyDescent="0.3">
      <c r="C3116" s="41" t="s">
        <v>780</v>
      </c>
      <c r="D3116" s="42" t="s">
        <v>820</v>
      </c>
    </row>
    <row r="3117" spans="2:4" hidden="1" outlineLevel="1" x14ac:dyDescent="0.3">
      <c r="C3117" s="40" t="s">
        <v>781</v>
      </c>
      <c r="D3117" s="35" t="s">
        <v>746</v>
      </c>
    </row>
    <row r="3118" spans="2:4" hidden="1" outlineLevel="1" x14ac:dyDescent="0.3">
      <c r="C3118" s="41" t="s">
        <v>782</v>
      </c>
      <c r="D3118" s="35" t="s">
        <v>367</v>
      </c>
    </row>
    <row r="3119" spans="2:4" hidden="1" outlineLevel="1" x14ac:dyDescent="0.3">
      <c r="C3119" s="41" t="s">
        <v>785</v>
      </c>
      <c r="D3119" s="35" t="s">
        <v>68</v>
      </c>
    </row>
    <row r="3120" spans="2:4" hidden="1" outlineLevel="1" x14ac:dyDescent="0.3">
      <c r="C3120" s="41" t="s">
        <v>786</v>
      </c>
      <c r="D3120" s="35" t="s">
        <v>747</v>
      </c>
    </row>
    <row r="3121" spans="3:4" hidden="1" outlineLevel="1" x14ac:dyDescent="0.3">
      <c r="C3121" s="41" t="s">
        <v>783</v>
      </c>
      <c r="D3121" s="35" t="s">
        <v>11</v>
      </c>
    </row>
    <row r="3122" spans="3:4" hidden="1" outlineLevel="1" x14ac:dyDescent="0.3">
      <c r="C3122" s="41" t="s">
        <v>784</v>
      </c>
      <c r="D3122" s="35" t="s">
        <v>125</v>
      </c>
    </row>
    <row r="3123" spans="3:4" hidden="1" outlineLevel="1" x14ac:dyDescent="0.3">
      <c r="C3123" s="41" t="s">
        <v>787</v>
      </c>
      <c r="D3123" s="35" t="s">
        <v>748</v>
      </c>
    </row>
    <row r="3124" spans="3:4" hidden="1" outlineLevel="1" x14ac:dyDescent="0.3">
      <c r="C3124" s="37" t="s">
        <v>788</v>
      </c>
      <c r="D3124" s="35" t="s">
        <v>517</v>
      </c>
    </row>
    <row r="3125" spans="3:4" hidden="1" outlineLevel="1" x14ac:dyDescent="0.3">
      <c r="C3125" s="37" t="s">
        <v>789</v>
      </c>
      <c r="D3125" s="35" t="s">
        <v>386</v>
      </c>
    </row>
    <row r="3126" spans="3:4" hidden="1" outlineLevel="1" x14ac:dyDescent="0.3">
      <c r="C3126" s="37" t="s">
        <v>790</v>
      </c>
      <c r="D3126" s="35" t="s">
        <v>299</v>
      </c>
    </row>
    <row r="3127" spans="3:4" hidden="1" outlineLevel="1" x14ac:dyDescent="0.3">
      <c r="C3127" s="37" t="s">
        <v>791</v>
      </c>
      <c r="D3127" s="35" t="s">
        <v>749</v>
      </c>
    </row>
    <row r="3128" spans="3:4" hidden="1" outlineLevel="1" x14ac:dyDescent="0.3">
      <c r="C3128" s="37" t="s">
        <v>792</v>
      </c>
      <c r="D3128" s="35" t="s">
        <v>750</v>
      </c>
    </row>
    <row r="3129" spans="3:4" hidden="1" outlineLevel="1" x14ac:dyDescent="0.3">
      <c r="C3129" s="37" t="s">
        <v>793</v>
      </c>
      <c r="D3129" s="35" t="s">
        <v>751</v>
      </c>
    </row>
    <row r="3130" spans="3:4" hidden="1" outlineLevel="1" x14ac:dyDescent="0.3">
      <c r="C3130" s="37" t="s">
        <v>794</v>
      </c>
      <c r="D3130" s="35" t="s">
        <v>752</v>
      </c>
    </row>
    <row r="3131" spans="3:4" hidden="1" outlineLevel="1" x14ac:dyDescent="0.3">
      <c r="C3131" s="37" t="s">
        <v>795</v>
      </c>
      <c r="D3131" s="35" t="s">
        <v>753</v>
      </c>
    </row>
    <row r="3132" spans="3:4" hidden="1" outlineLevel="1" x14ac:dyDescent="0.3">
      <c r="C3132" s="37" t="s">
        <v>796</v>
      </c>
      <c r="D3132" s="35" t="s">
        <v>754</v>
      </c>
    </row>
    <row r="3133" spans="3:4" hidden="1" outlineLevel="1" x14ac:dyDescent="0.3">
      <c r="C3133" s="37" t="s">
        <v>797</v>
      </c>
      <c r="D3133" s="35" t="s">
        <v>755</v>
      </c>
    </row>
    <row r="3134" spans="3:4" hidden="1" outlineLevel="1" x14ac:dyDescent="0.3">
      <c r="C3134" s="37" t="s">
        <v>798</v>
      </c>
      <c r="D3134" s="35" t="s">
        <v>756</v>
      </c>
    </row>
    <row r="3135" spans="3:4" hidden="1" outlineLevel="1" x14ac:dyDescent="0.3">
      <c r="C3135" s="37" t="s">
        <v>799</v>
      </c>
      <c r="D3135" s="35" t="s">
        <v>757</v>
      </c>
    </row>
    <row r="3136" spans="3:4" hidden="1" outlineLevel="1" x14ac:dyDescent="0.3">
      <c r="C3136" s="37" t="s">
        <v>800</v>
      </c>
      <c r="D3136" s="35" t="s">
        <v>758</v>
      </c>
    </row>
    <row r="3137" spans="3:4" hidden="1" outlineLevel="1" x14ac:dyDescent="0.3">
      <c r="C3137" s="37" t="s">
        <v>801</v>
      </c>
      <c r="D3137" s="35" t="s">
        <v>759</v>
      </c>
    </row>
    <row r="3138" spans="3:4" hidden="1" outlineLevel="1" x14ac:dyDescent="0.3">
      <c r="C3138" s="37" t="s">
        <v>802</v>
      </c>
      <c r="D3138" s="35" t="s">
        <v>760</v>
      </c>
    </row>
    <row r="3139" spans="3:4" hidden="1" outlineLevel="1" x14ac:dyDescent="0.3">
      <c r="C3139" s="37" t="s">
        <v>803</v>
      </c>
      <c r="D3139" s="35" t="s">
        <v>761</v>
      </c>
    </row>
    <row r="3140" spans="3:4" hidden="1" outlineLevel="1" x14ac:dyDescent="0.3">
      <c r="C3140" s="37" t="s">
        <v>804</v>
      </c>
      <c r="D3140" s="35" t="s">
        <v>762</v>
      </c>
    </row>
    <row r="3141" spans="3:4" hidden="1" outlineLevel="1" x14ac:dyDescent="0.3">
      <c r="C3141" s="37" t="s">
        <v>805</v>
      </c>
      <c r="D3141" s="35" t="s">
        <v>763</v>
      </c>
    </row>
    <row r="3142" spans="3:4" hidden="1" outlineLevel="1" x14ac:dyDescent="0.3">
      <c r="C3142" s="37" t="s">
        <v>806</v>
      </c>
      <c r="D3142" s="35" t="s">
        <v>764</v>
      </c>
    </row>
    <row r="3143" spans="3:4" hidden="1" outlineLevel="1" x14ac:dyDescent="0.3">
      <c r="C3143" s="37" t="s">
        <v>807</v>
      </c>
      <c r="D3143" s="35" t="s">
        <v>765</v>
      </c>
    </row>
    <row r="3144" spans="3:4" hidden="1" outlineLevel="1" x14ac:dyDescent="0.3">
      <c r="C3144" s="37" t="s">
        <v>808</v>
      </c>
      <c r="D3144" s="35" t="s">
        <v>766</v>
      </c>
    </row>
    <row r="3145" spans="3:4" hidden="1" outlineLevel="1" x14ac:dyDescent="0.3">
      <c r="C3145" s="37" t="s">
        <v>809</v>
      </c>
      <c r="D3145" s="35" t="s">
        <v>767</v>
      </c>
    </row>
    <row r="3146" spans="3:4" hidden="1" outlineLevel="1" x14ac:dyDescent="0.3">
      <c r="C3146" s="37" t="s">
        <v>810</v>
      </c>
      <c r="D3146" s="35" t="s">
        <v>768</v>
      </c>
    </row>
    <row r="3147" spans="3:4" hidden="1" outlineLevel="1" x14ac:dyDescent="0.3">
      <c r="C3147" s="37" t="s">
        <v>811</v>
      </c>
      <c r="D3147" s="35" t="s">
        <v>769</v>
      </c>
    </row>
    <row r="3148" spans="3:4" hidden="1" outlineLevel="1" x14ac:dyDescent="0.3">
      <c r="C3148" s="37" t="s">
        <v>812</v>
      </c>
      <c r="D3148" s="35" t="s">
        <v>770</v>
      </c>
    </row>
    <row r="3149" spans="3:4" hidden="1" outlineLevel="1" x14ac:dyDescent="0.3">
      <c r="C3149" s="37" t="s">
        <v>813</v>
      </c>
      <c r="D3149" s="35" t="s">
        <v>771</v>
      </c>
    </row>
    <row r="3150" spans="3:4" hidden="1" outlineLevel="1" x14ac:dyDescent="0.3">
      <c r="C3150" s="37" t="s">
        <v>814</v>
      </c>
      <c r="D3150" s="35" t="s">
        <v>772</v>
      </c>
    </row>
    <row r="3151" spans="3:4" hidden="1" outlineLevel="1" x14ac:dyDescent="0.3">
      <c r="C3151" s="37" t="s">
        <v>815</v>
      </c>
      <c r="D3151" s="35" t="s">
        <v>773</v>
      </c>
    </row>
    <row r="3152" spans="3:4" hidden="1" outlineLevel="1" x14ac:dyDescent="0.3">
      <c r="C3152" s="37" t="s">
        <v>816</v>
      </c>
      <c r="D3152" s="35" t="s">
        <v>774</v>
      </c>
    </row>
    <row r="3153" spans="2:4" hidden="1" outlineLevel="1" x14ac:dyDescent="0.3">
      <c r="C3153" s="37" t="s">
        <v>817</v>
      </c>
      <c r="D3153" s="35" t="s">
        <v>775</v>
      </c>
    </row>
    <row r="3154" spans="2:4" hidden="1" outlineLevel="1" x14ac:dyDescent="0.3">
      <c r="C3154" s="37" t="s">
        <v>818</v>
      </c>
      <c r="D3154" s="35" t="s">
        <v>776</v>
      </c>
    </row>
    <row r="3155" spans="2:4" hidden="1" outlineLevel="1" x14ac:dyDescent="0.3">
      <c r="C3155" s="37" t="s">
        <v>819</v>
      </c>
      <c r="D3155" s="35" t="s">
        <v>777</v>
      </c>
    </row>
    <row r="3156" spans="2:4" collapsed="1" x14ac:dyDescent="0.3">
      <c r="B3156" s="43" t="s">
        <v>269</v>
      </c>
      <c r="C3156" t="s">
        <v>249</v>
      </c>
    </row>
    <row r="3157" spans="2:4" hidden="1" outlineLevel="1" x14ac:dyDescent="0.3">
      <c r="C3157" s="40" t="s">
        <v>779</v>
      </c>
      <c r="D3157" s="35" t="s">
        <v>745</v>
      </c>
    </row>
    <row r="3158" spans="2:4" hidden="1" outlineLevel="1" x14ac:dyDescent="0.3">
      <c r="C3158" s="41" t="s">
        <v>780</v>
      </c>
      <c r="D3158" s="42" t="s">
        <v>820</v>
      </c>
    </row>
    <row r="3159" spans="2:4" hidden="1" outlineLevel="1" x14ac:dyDescent="0.3">
      <c r="C3159" s="40" t="s">
        <v>781</v>
      </c>
      <c r="D3159" s="35" t="s">
        <v>746</v>
      </c>
    </row>
    <row r="3160" spans="2:4" hidden="1" outlineLevel="1" x14ac:dyDescent="0.3">
      <c r="C3160" s="41" t="s">
        <v>782</v>
      </c>
      <c r="D3160" s="35" t="s">
        <v>367</v>
      </c>
    </row>
    <row r="3161" spans="2:4" hidden="1" outlineLevel="1" x14ac:dyDescent="0.3">
      <c r="C3161" s="41" t="s">
        <v>785</v>
      </c>
      <c r="D3161" s="35" t="s">
        <v>68</v>
      </c>
    </row>
    <row r="3162" spans="2:4" hidden="1" outlineLevel="1" x14ac:dyDescent="0.3">
      <c r="C3162" s="41" t="s">
        <v>786</v>
      </c>
      <c r="D3162" s="35" t="s">
        <v>747</v>
      </c>
    </row>
    <row r="3163" spans="2:4" hidden="1" outlineLevel="1" x14ac:dyDescent="0.3">
      <c r="C3163" s="41" t="s">
        <v>783</v>
      </c>
      <c r="D3163" s="35" t="s">
        <v>11</v>
      </c>
    </row>
    <row r="3164" spans="2:4" hidden="1" outlineLevel="1" x14ac:dyDescent="0.3">
      <c r="C3164" s="41" t="s">
        <v>784</v>
      </c>
      <c r="D3164" s="35" t="s">
        <v>125</v>
      </c>
    </row>
    <row r="3165" spans="2:4" hidden="1" outlineLevel="1" x14ac:dyDescent="0.3">
      <c r="C3165" s="41" t="s">
        <v>787</v>
      </c>
      <c r="D3165" s="35" t="s">
        <v>748</v>
      </c>
    </row>
    <row r="3166" spans="2:4" hidden="1" outlineLevel="1" x14ac:dyDescent="0.3">
      <c r="C3166" s="37" t="s">
        <v>788</v>
      </c>
      <c r="D3166" s="35" t="s">
        <v>517</v>
      </c>
    </row>
    <row r="3167" spans="2:4" hidden="1" outlineLevel="1" x14ac:dyDescent="0.3">
      <c r="C3167" s="37" t="s">
        <v>789</v>
      </c>
      <c r="D3167" s="35" t="s">
        <v>386</v>
      </c>
    </row>
    <row r="3168" spans="2:4" hidden="1" outlineLevel="1" x14ac:dyDescent="0.3">
      <c r="C3168" s="37" t="s">
        <v>790</v>
      </c>
      <c r="D3168" s="35" t="s">
        <v>299</v>
      </c>
    </row>
    <row r="3169" spans="3:4" hidden="1" outlineLevel="1" x14ac:dyDescent="0.3">
      <c r="C3169" s="37" t="s">
        <v>791</v>
      </c>
      <c r="D3169" s="35" t="s">
        <v>749</v>
      </c>
    </row>
    <row r="3170" spans="3:4" hidden="1" outlineLevel="1" x14ac:dyDescent="0.3">
      <c r="C3170" s="37" t="s">
        <v>792</v>
      </c>
      <c r="D3170" s="35" t="s">
        <v>750</v>
      </c>
    </row>
    <row r="3171" spans="3:4" hidden="1" outlineLevel="1" x14ac:dyDescent="0.3">
      <c r="C3171" s="37" t="s">
        <v>793</v>
      </c>
      <c r="D3171" s="35" t="s">
        <v>751</v>
      </c>
    </row>
    <row r="3172" spans="3:4" hidden="1" outlineLevel="1" x14ac:dyDescent="0.3">
      <c r="C3172" s="37" t="s">
        <v>794</v>
      </c>
      <c r="D3172" s="35" t="s">
        <v>752</v>
      </c>
    </row>
    <row r="3173" spans="3:4" hidden="1" outlineLevel="1" x14ac:dyDescent="0.3">
      <c r="C3173" s="37" t="s">
        <v>795</v>
      </c>
      <c r="D3173" s="35" t="s">
        <v>753</v>
      </c>
    </row>
    <row r="3174" spans="3:4" hidden="1" outlineLevel="1" x14ac:dyDescent="0.3">
      <c r="C3174" s="37" t="s">
        <v>796</v>
      </c>
      <c r="D3174" s="35" t="s">
        <v>754</v>
      </c>
    </row>
    <row r="3175" spans="3:4" hidden="1" outlineLevel="1" x14ac:dyDescent="0.3">
      <c r="C3175" s="37" t="s">
        <v>797</v>
      </c>
      <c r="D3175" s="35" t="s">
        <v>755</v>
      </c>
    </row>
    <row r="3176" spans="3:4" hidden="1" outlineLevel="1" x14ac:dyDescent="0.3">
      <c r="C3176" s="37" t="s">
        <v>798</v>
      </c>
      <c r="D3176" s="35" t="s">
        <v>756</v>
      </c>
    </row>
    <row r="3177" spans="3:4" hidden="1" outlineLevel="1" x14ac:dyDescent="0.3">
      <c r="C3177" s="37" t="s">
        <v>799</v>
      </c>
      <c r="D3177" s="35" t="s">
        <v>757</v>
      </c>
    </row>
    <row r="3178" spans="3:4" hidden="1" outlineLevel="1" x14ac:dyDescent="0.3">
      <c r="C3178" s="37" t="s">
        <v>800</v>
      </c>
      <c r="D3178" s="35" t="s">
        <v>758</v>
      </c>
    </row>
    <row r="3179" spans="3:4" hidden="1" outlineLevel="1" x14ac:dyDescent="0.3">
      <c r="C3179" s="37" t="s">
        <v>801</v>
      </c>
      <c r="D3179" s="35" t="s">
        <v>759</v>
      </c>
    </row>
    <row r="3180" spans="3:4" hidden="1" outlineLevel="1" x14ac:dyDescent="0.3">
      <c r="C3180" s="37" t="s">
        <v>802</v>
      </c>
      <c r="D3180" s="35" t="s">
        <v>760</v>
      </c>
    </row>
    <row r="3181" spans="3:4" hidden="1" outlineLevel="1" x14ac:dyDescent="0.3">
      <c r="C3181" s="37" t="s">
        <v>803</v>
      </c>
      <c r="D3181" s="35" t="s">
        <v>761</v>
      </c>
    </row>
    <row r="3182" spans="3:4" hidden="1" outlineLevel="1" x14ac:dyDescent="0.3">
      <c r="C3182" s="37" t="s">
        <v>804</v>
      </c>
      <c r="D3182" s="35" t="s">
        <v>762</v>
      </c>
    </row>
    <row r="3183" spans="3:4" hidden="1" outlineLevel="1" x14ac:dyDescent="0.3">
      <c r="C3183" s="37" t="s">
        <v>805</v>
      </c>
      <c r="D3183" s="35" t="s">
        <v>763</v>
      </c>
    </row>
    <row r="3184" spans="3:4" hidden="1" outlineLevel="1" x14ac:dyDescent="0.3">
      <c r="C3184" s="37" t="s">
        <v>806</v>
      </c>
      <c r="D3184" s="35" t="s">
        <v>764</v>
      </c>
    </row>
    <row r="3185" spans="3:4" hidden="1" outlineLevel="1" x14ac:dyDescent="0.3">
      <c r="C3185" s="37" t="s">
        <v>807</v>
      </c>
      <c r="D3185" s="35" t="s">
        <v>765</v>
      </c>
    </row>
    <row r="3186" spans="3:4" hidden="1" outlineLevel="1" x14ac:dyDescent="0.3">
      <c r="C3186" s="37" t="s">
        <v>808</v>
      </c>
      <c r="D3186" s="35" t="s">
        <v>766</v>
      </c>
    </row>
    <row r="3187" spans="3:4" hidden="1" outlineLevel="1" x14ac:dyDescent="0.3">
      <c r="C3187" s="37" t="s">
        <v>809</v>
      </c>
      <c r="D3187" s="35" t="s">
        <v>767</v>
      </c>
    </row>
    <row r="3188" spans="3:4" hidden="1" outlineLevel="1" x14ac:dyDescent="0.3">
      <c r="C3188" s="37" t="s">
        <v>810</v>
      </c>
      <c r="D3188" s="35" t="s">
        <v>768</v>
      </c>
    </row>
    <row r="3189" spans="3:4" hidden="1" outlineLevel="1" x14ac:dyDescent="0.3">
      <c r="C3189" s="37" t="s">
        <v>811</v>
      </c>
      <c r="D3189" s="35" t="s">
        <v>769</v>
      </c>
    </row>
    <row r="3190" spans="3:4" hidden="1" outlineLevel="1" x14ac:dyDescent="0.3">
      <c r="C3190" s="37" t="s">
        <v>812</v>
      </c>
      <c r="D3190" s="35" t="s">
        <v>770</v>
      </c>
    </row>
    <row r="3191" spans="3:4" hidden="1" outlineLevel="1" x14ac:dyDescent="0.3">
      <c r="C3191" s="37" t="s">
        <v>813</v>
      </c>
      <c r="D3191" s="35" t="s">
        <v>771</v>
      </c>
    </row>
    <row r="3192" spans="3:4" hidden="1" outlineLevel="1" x14ac:dyDescent="0.3">
      <c r="C3192" s="37" t="s">
        <v>814</v>
      </c>
      <c r="D3192" s="35" t="s">
        <v>772</v>
      </c>
    </row>
    <row r="3193" spans="3:4" hidden="1" outlineLevel="1" x14ac:dyDescent="0.3">
      <c r="C3193" s="37" t="s">
        <v>815</v>
      </c>
      <c r="D3193" s="35" t="s">
        <v>773</v>
      </c>
    </row>
    <row r="3194" spans="3:4" hidden="1" outlineLevel="1" x14ac:dyDescent="0.3">
      <c r="C3194" s="37" t="s">
        <v>816</v>
      </c>
      <c r="D3194" s="35" t="s">
        <v>774</v>
      </c>
    </row>
    <row r="3195" spans="3:4" hidden="1" outlineLevel="1" x14ac:dyDescent="0.3">
      <c r="C3195" s="37" t="s">
        <v>817</v>
      </c>
      <c r="D3195" s="35" t="s">
        <v>775</v>
      </c>
    </row>
    <row r="3196" spans="3:4" hidden="1" outlineLevel="1" x14ac:dyDescent="0.3">
      <c r="C3196" s="37" t="s">
        <v>818</v>
      </c>
      <c r="D3196" s="35" t="s">
        <v>776</v>
      </c>
    </row>
    <row r="3197" spans="3:4" hidden="1" outlineLevel="1" x14ac:dyDescent="0.3">
      <c r="C3197" s="37" t="s">
        <v>819</v>
      </c>
      <c r="D3197" s="35" t="s">
        <v>777</v>
      </c>
    </row>
    <row r="3198" spans="3:4" collapsed="1" x14ac:dyDescent="0.3"/>
  </sheetData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42"/>
  <sheetViews>
    <sheetView topLeftCell="B1" workbookViewId="0">
      <selection activeCell="E14" sqref="E14"/>
    </sheetView>
  </sheetViews>
  <sheetFormatPr defaultRowHeight="13.5" x14ac:dyDescent="0.3"/>
  <cols>
    <col min="2" max="2" width="12.86328125" style="38" bestFit="1" customWidth="1"/>
    <col min="3" max="3" width="13.9296875" bestFit="1" customWidth="1"/>
  </cols>
  <sheetData>
    <row r="1" spans="2:3" x14ac:dyDescent="0.3">
      <c r="B1" s="36" t="s">
        <v>744</v>
      </c>
      <c r="C1" s="39" t="s">
        <v>778</v>
      </c>
    </row>
    <row r="2" spans="2:3" x14ac:dyDescent="0.3">
      <c r="B2" s="40" t="s">
        <v>779</v>
      </c>
      <c r="C2" s="35" t="s">
        <v>745</v>
      </c>
    </row>
    <row r="3" spans="2:3" x14ac:dyDescent="0.3">
      <c r="B3" s="41" t="s">
        <v>780</v>
      </c>
      <c r="C3" s="42" t="s">
        <v>911</v>
      </c>
    </row>
    <row r="4" spans="2:3" x14ac:dyDescent="0.3">
      <c r="B4" s="40" t="s">
        <v>781</v>
      </c>
      <c r="C4" s="35" t="s">
        <v>746</v>
      </c>
    </row>
    <row r="5" spans="2:3" x14ac:dyDescent="0.3">
      <c r="B5" s="41" t="s">
        <v>782</v>
      </c>
      <c r="C5" s="35" t="s">
        <v>367</v>
      </c>
    </row>
    <row r="6" spans="2:3" x14ac:dyDescent="0.3">
      <c r="B6" s="41" t="s">
        <v>785</v>
      </c>
      <c r="C6" s="35" t="s">
        <v>68</v>
      </c>
    </row>
    <row r="7" spans="2:3" x14ac:dyDescent="0.3">
      <c r="B7" s="41" t="s">
        <v>786</v>
      </c>
      <c r="C7" s="35" t="s">
        <v>747</v>
      </c>
    </row>
    <row r="8" spans="2:3" x14ac:dyDescent="0.3">
      <c r="B8" s="41" t="s">
        <v>783</v>
      </c>
      <c r="C8" s="35" t="s">
        <v>11</v>
      </c>
    </row>
    <row r="9" spans="2:3" x14ac:dyDescent="0.3">
      <c r="B9" s="41" t="s">
        <v>784</v>
      </c>
      <c r="C9" s="35" t="s">
        <v>125</v>
      </c>
    </row>
    <row r="10" spans="2:3" x14ac:dyDescent="0.3">
      <c r="B10" s="41" t="s">
        <v>787</v>
      </c>
      <c r="C10" s="35" t="s">
        <v>748</v>
      </c>
    </row>
    <row r="11" spans="2:3" x14ac:dyDescent="0.3">
      <c r="B11" s="37" t="s">
        <v>788</v>
      </c>
      <c r="C11" s="35" t="s">
        <v>517</v>
      </c>
    </row>
    <row r="12" spans="2:3" x14ac:dyDescent="0.3">
      <c r="B12" s="37" t="s">
        <v>789</v>
      </c>
      <c r="C12" s="35" t="s">
        <v>386</v>
      </c>
    </row>
    <row r="13" spans="2:3" x14ac:dyDescent="0.3">
      <c r="B13" s="37" t="s">
        <v>790</v>
      </c>
      <c r="C13" s="35" t="s">
        <v>299</v>
      </c>
    </row>
    <row r="14" spans="2:3" x14ac:dyDescent="0.3">
      <c r="B14" s="37" t="s">
        <v>791</v>
      </c>
      <c r="C14" s="35" t="s">
        <v>749</v>
      </c>
    </row>
    <row r="15" spans="2:3" x14ac:dyDescent="0.3">
      <c r="B15" s="37" t="s">
        <v>792</v>
      </c>
      <c r="C15" s="35" t="s">
        <v>750</v>
      </c>
    </row>
    <row r="16" spans="2:3" x14ac:dyDescent="0.3">
      <c r="B16" s="37" t="s">
        <v>793</v>
      </c>
      <c r="C16" s="35" t="s">
        <v>751</v>
      </c>
    </row>
    <row r="17" spans="2:3" x14ac:dyDescent="0.3">
      <c r="B17" s="37" t="s">
        <v>794</v>
      </c>
      <c r="C17" s="35" t="s">
        <v>752</v>
      </c>
    </row>
    <row r="18" spans="2:3" x14ac:dyDescent="0.3">
      <c r="B18" s="37" t="s">
        <v>795</v>
      </c>
      <c r="C18" s="35" t="s">
        <v>753</v>
      </c>
    </row>
    <row r="19" spans="2:3" x14ac:dyDescent="0.3">
      <c r="B19" s="37" t="s">
        <v>796</v>
      </c>
      <c r="C19" s="35" t="s">
        <v>754</v>
      </c>
    </row>
    <row r="20" spans="2:3" x14ac:dyDescent="0.3">
      <c r="B20" s="37" t="s">
        <v>797</v>
      </c>
      <c r="C20" s="35" t="s">
        <v>755</v>
      </c>
    </row>
    <row r="21" spans="2:3" x14ac:dyDescent="0.3">
      <c r="B21" s="37" t="s">
        <v>798</v>
      </c>
      <c r="C21" s="35" t="s">
        <v>756</v>
      </c>
    </row>
    <row r="22" spans="2:3" x14ac:dyDescent="0.3">
      <c r="B22" s="37" t="s">
        <v>799</v>
      </c>
      <c r="C22" s="35" t="s">
        <v>757</v>
      </c>
    </row>
    <row r="23" spans="2:3" x14ac:dyDescent="0.3">
      <c r="B23" s="37" t="s">
        <v>800</v>
      </c>
      <c r="C23" s="35" t="s">
        <v>758</v>
      </c>
    </row>
    <row r="24" spans="2:3" x14ac:dyDescent="0.3">
      <c r="B24" s="37" t="s">
        <v>801</v>
      </c>
      <c r="C24" s="35" t="s">
        <v>759</v>
      </c>
    </row>
    <row r="25" spans="2:3" x14ac:dyDescent="0.3">
      <c r="B25" s="37" t="s">
        <v>802</v>
      </c>
      <c r="C25" s="35" t="s">
        <v>760</v>
      </c>
    </row>
    <row r="26" spans="2:3" x14ac:dyDescent="0.3">
      <c r="B26" s="37" t="s">
        <v>803</v>
      </c>
      <c r="C26" s="35" t="s">
        <v>761</v>
      </c>
    </row>
    <row r="27" spans="2:3" x14ac:dyDescent="0.3">
      <c r="B27" s="37" t="s">
        <v>804</v>
      </c>
      <c r="C27" s="35" t="s">
        <v>762</v>
      </c>
    </row>
    <row r="28" spans="2:3" x14ac:dyDescent="0.3">
      <c r="B28" s="37" t="s">
        <v>805</v>
      </c>
      <c r="C28" s="35" t="s">
        <v>763</v>
      </c>
    </row>
    <row r="29" spans="2:3" x14ac:dyDescent="0.3">
      <c r="B29" s="37" t="s">
        <v>806</v>
      </c>
      <c r="C29" s="35" t="s">
        <v>764</v>
      </c>
    </row>
    <row r="30" spans="2:3" x14ac:dyDescent="0.3">
      <c r="B30" s="37" t="s">
        <v>807</v>
      </c>
      <c r="C30" s="35" t="s">
        <v>765</v>
      </c>
    </row>
    <row r="31" spans="2:3" x14ac:dyDescent="0.3">
      <c r="B31" s="37" t="s">
        <v>808</v>
      </c>
      <c r="C31" s="35" t="s">
        <v>766</v>
      </c>
    </row>
    <row r="32" spans="2:3" x14ac:dyDescent="0.3">
      <c r="B32" s="37" t="s">
        <v>809</v>
      </c>
      <c r="C32" s="35" t="s">
        <v>767</v>
      </c>
    </row>
    <row r="33" spans="2:3" x14ac:dyDescent="0.3">
      <c r="B33" s="37" t="s">
        <v>810</v>
      </c>
      <c r="C33" s="35" t="s">
        <v>768</v>
      </c>
    </row>
    <row r="34" spans="2:3" x14ac:dyDescent="0.3">
      <c r="B34" s="37" t="s">
        <v>811</v>
      </c>
      <c r="C34" s="35" t="s">
        <v>769</v>
      </c>
    </row>
    <row r="35" spans="2:3" x14ac:dyDescent="0.3">
      <c r="B35" s="37" t="s">
        <v>812</v>
      </c>
      <c r="C35" s="35" t="s">
        <v>770</v>
      </c>
    </row>
    <row r="36" spans="2:3" x14ac:dyDescent="0.3">
      <c r="B36" s="37" t="s">
        <v>813</v>
      </c>
      <c r="C36" s="35" t="s">
        <v>771</v>
      </c>
    </row>
    <row r="37" spans="2:3" x14ac:dyDescent="0.3">
      <c r="B37" s="37" t="s">
        <v>814</v>
      </c>
      <c r="C37" s="35" t="s">
        <v>772</v>
      </c>
    </row>
    <row r="38" spans="2:3" x14ac:dyDescent="0.3">
      <c r="B38" s="37" t="s">
        <v>815</v>
      </c>
      <c r="C38" s="35" t="s">
        <v>773</v>
      </c>
    </row>
    <row r="39" spans="2:3" x14ac:dyDescent="0.3">
      <c r="B39" s="37" t="s">
        <v>816</v>
      </c>
      <c r="C39" s="35" t="s">
        <v>774</v>
      </c>
    </row>
    <row r="40" spans="2:3" x14ac:dyDescent="0.3">
      <c r="B40" s="37" t="s">
        <v>817</v>
      </c>
      <c r="C40" s="35" t="s">
        <v>775</v>
      </c>
    </row>
    <row r="41" spans="2:3" x14ac:dyDescent="0.3">
      <c r="B41" s="37" t="s">
        <v>818</v>
      </c>
      <c r="C41" s="35" t="s">
        <v>776</v>
      </c>
    </row>
    <row r="42" spans="2:3" x14ac:dyDescent="0.3">
      <c r="B42" s="37" t="s">
        <v>819</v>
      </c>
      <c r="C42" s="35" t="s">
        <v>777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5"/>
  <sheetViews>
    <sheetView topLeftCell="C1" workbookViewId="0">
      <selection activeCell="I267" sqref="I267"/>
    </sheetView>
  </sheetViews>
  <sheetFormatPr defaultRowHeight="13.5" x14ac:dyDescent="0.3"/>
  <cols>
    <col min="1" max="1" width="29.796875" bestFit="1" customWidth="1"/>
    <col min="2" max="2" width="7.265625" bestFit="1" customWidth="1"/>
    <col min="12" max="12" width="19" bestFit="1" customWidth="1"/>
    <col min="13" max="13" width="6.06640625" bestFit="1" customWidth="1"/>
    <col min="14" max="14" width="37.46484375" bestFit="1" customWidth="1"/>
    <col min="15" max="26" width="6.06640625" bestFit="1" customWidth="1"/>
    <col min="27" max="31" width="5.06640625" bestFit="1" customWidth="1"/>
  </cols>
  <sheetData>
    <row r="1" spans="1:5" x14ac:dyDescent="0.3">
      <c r="A1" s="45" t="s">
        <v>4</v>
      </c>
      <c r="B1" s="45" t="s">
        <v>1309</v>
      </c>
    </row>
    <row r="2" spans="1:5" x14ac:dyDescent="0.3">
      <c r="A2" t="s">
        <v>172</v>
      </c>
      <c r="B2" t="s">
        <v>1038</v>
      </c>
      <c r="D2" t="s">
        <v>1038</v>
      </c>
      <c r="E2" t="b">
        <f>D2=B2</f>
        <v>1</v>
      </c>
    </row>
    <row r="3" spans="1:5" x14ac:dyDescent="0.3">
      <c r="A3" t="s">
        <v>162</v>
      </c>
      <c r="B3" t="s">
        <v>1039</v>
      </c>
      <c r="D3" t="s">
        <v>1039</v>
      </c>
      <c r="E3" t="b">
        <f t="shared" ref="E3:E61" si="0">D3=B3</f>
        <v>1</v>
      </c>
    </row>
    <row r="4" spans="1:5" x14ac:dyDescent="0.3">
      <c r="A4" t="s">
        <v>169</v>
      </c>
      <c r="B4" t="s">
        <v>1030</v>
      </c>
      <c r="D4" t="s">
        <v>1030</v>
      </c>
      <c r="E4" t="b">
        <f t="shared" si="0"/>
        <v>1</v>
      </c>
    </row>
    <row r="5" spans="1:5" x14ac:dyDescent="0.3">
      <c r="A5" t="s">
        <v>165</v>
      </c>
      <c r="B5" t="s">
        <v>1029</v>
      </c>
      <c r="D5" t="s">
        <v>1029</v>
      </c>
      <c r="E5" t="b">
        <f t="shared" si="0"/>
        <v>1</v>
      </c>
    </row>
    <row r="6" spans="1:5" x14ac:dyDescent="0.3">
      <c r="A6" t="s">
        <v>376</v>
      </c>
      <c r="B6" t="s">
        <v>981</v>
      </c>
      <c r="D6" t="s">
        <v>981</v>
      </c>
      <c r="E6" t="b">
        <f t="shared" si="0"/>
        <v>1</v>
      </c>
    </row>
    <row r="7" spans="1:5" x14ac:dyDescent="0.3">
      <c r="B7" t="s">
        <v>987</v>
      </c>
      <c r="D7" t="s">
        <v>987</v>
      </c>
      <c r="E7" t="b">
        <f t="shared" si="0"/>
        <v>1</v>
      </c>
    </row>
    <row r="8" spans="1:5" x14ac:dyDescent="0.3">
      <c r="B8" t="s">
        <v>1276</v>
      </c>
      <c r="D8" t="s">
        <v>1276</v>
      </c>
      <c r="E8" t="b">
        <f t="shared" si="0"/>
        <v>1</v>
      </c>
    </row>
    <row r="9" spans="1:5" x14ac:dyDescent="0.3">
      <c r="A9" t="s">
        <v>167</v>
      </c>
      <c r="B9" t="s">
        <v>1032</v>
      </c>
      <c r="D9" t="s">
        <v>1032</v>
      </c>
      <c r="E9" t="b">
        <f t="shared" si="0"/>
        <v>1</v>
      </c>
    </row>
    <row r="10" spans="1:5" x14ac:dyDescent="0.3">
      <c r="A10" t="s">
        <v>136</v>
      </c>
      <c r="B10" t="s">
        <v>1024</v>
      </c>
      <c r="D10" t="s">
        <v>1024</v>
      </c>
      <c r="E10" t="b">
        <f t="shared" si="0"/>
        <v>1</v>
      </c>
    </row>
    <row r="11" spans="1:5" x14ac:dyDescent="0.3">
      <c r="A11" t="s">
        <v>360</v>
      </c>
      <c r="B11" t="s">
        <v>1170</v>
      </c>
      <c r="D11" t="s">
        <v>1170</v>
      </c>
      <c r="E11" t="b">
        <f t="shared" si="0"/>
        <v>1</v>
      </c>
    </row>
    <row r="12" spans="1:5" x14ac:dyDescent="0.3">
      <c r="B12" t="s">
        <v>1174</v>
      </c>
      <c r="D12" t="s">
        <v>1174</v>
      </c>
      <c r="E12" t="b">
        <f t="shared" si="0"/>
        <v>1</v>
      </c>
    </row>
    <row r="13" spans="1:5" x14ac:dyDescent="0.3">
      <c r="B13" t="s">
        <v>1171</v>
      </c>
      <c r="D13" t="s">
        <v>1171</v>
      </c>
      <c r="E13" t="b">
        <f t="shared" si="0"/>
        <v>1</v>
      </c>
    </row>
    <row r="14" spans="1:5" x14ac:dyDescent="0.3">
      <c r="B14" t="s">
        <v>1172</v>
      </c>
      <c r="D14" t="s">
        <v>1172</v>
      </c>
      <c r="E14" t="b">
        <f t="shared" si="0"/>
        <v>1</v>
      </c>
    </row>
    <row r="15" spans="1:5" x14ac:dyDescent="0.3">
      <c r="B15" t="s">
        <v>1181</v>
      </c>
      <c r="D15" t="s">
        <v>1181</v>
      </c>
      <c r="E15" t="b">
        <f t="shared" si="0"/>
        <v>1</v>
      </c>
    </row>
    <row r="16" spans="1:5" x14ac:dyDescent="0.3">
      <c r="B16" t="s">
        <v>1178</v>
      </c>
      <c r="D16" t="s">
        <v>1178</v>
      </c>
      <c r="E16" t="b">
        <f t="shared" si="0"/>
        <v>1</v>
      </c>
    </row>
    <row r="17" spans="1:5" x14ac:dyDescent="0.3">
      <c r="B17" t="s">
        <v>1180</v>
      </c>
      <c r="D17" t="s">
        <v>1180</v>
      </c>
      <c r="E17" t="b">
        <f t="shared" si="0"/>
        <v>1</v>
      </c>
    </row>
    <row r="18" spans="1:5" x14ac:dyDescent="0.3">
      <c r="B18" t="s">
        <v>1173</v>
      </c>
      <c r="D18" t="s">
        <v>1173</v>
      </c>
      <c r="E18" t="b">
        <f t="shared" si="0"/>
        <v>1</v>
      </c>
    </row>
    <row r="19" spans="1:5" x14ac:dyDescent="0.3">
      <c r="B19" t="s">
        <v>1127</v>
      </c>
      <c r="D19" t="s">
        <v>1127</v>
      </c>
      <c r="E19" t="b">
        <f t="shared" si="0"/>
        <v>1</v>
      </c>
    </row>
    <row r="20" spans="1:5" x14ac:dyDescent="0.3">
      <c r="B20" t="s">
        <v>1102</v>
      </c>
      <c r="D20" t="s">
        <v>1102</v>
      </c>
      <c r="E20" t="b">
        <f t="shared" si="0"/>
        <v>1</v>
      </c>
    </row>
    <row r="21" spans="1:5" x14ac:dyDescent="0.3">
      <c r="B21" t="s">
        <v>1166</v>
      </c>
      <c r="D21" t="s">
        <v>1166</v>
      </c>
      <c r="E21" t="b">
        <f t="shared" si="0"/>
        <v>1</v>
      </c>
    </row>
    <row r="22" spans="1:5" x14ac:dyDescent="0.3">
      <c r="B22" t="s">
        <v>1168</v>
      </c>
      <c r="D22" t="s">
        <v>1168</v>
      </c>
      <c r="E22" t="b">
        <f t="shared" si="0"/>
        <v>1</v>
      </c>
    </row>
    <row r="23" spans="1:5" x14ac:dyDescent="0.3">
      <c r="B23" t="s">
        <v>1182</v>
      </c>
      <c r="D23" t="s">
        <v>1182</v>
      </c>
      <c r="E23" t="b">
        <f t="shared" si="0"/>
        <v>1</v>
      </c>
    </row>
    <row r="24" spans="1:5" x14ac:dyDescent="0.3">
      <c r="B24" t="s">
        <v>1167</v>
      </c>
      <c r="D24" t="s">
        <v>1167</v>
      </c>
      <c r="E24" t="b">
        <f t="shared" si="0"/>
        <v>1</v>
      </c>
    </row>
    <row r="25" spans="1:5" x14ac:dyDescent="0.3">
      <c r="B25" t="s">
        <v>1176</v>
      </c>
      <c r="D25" t="s">
        <v>1176</v>
      </c>
      <c r="E25" t="b">
        <f t="shared" si="0"/>
        <v>1</v>
      </c>
    </row>
    <row r="26" spans="1:5" x14ac:dyDescent="0.3">
      <c r="B26" t="s">
        <v>1164</v>
      </c>
      <c r="D26" t="s">
        <v>1164</v>
      </c>
      <c r="E26" t="b">
        <f t="shared" si="0"/>
        <v>1</v>
      </c>
    </row>
    <row r="27" spans="1:5" x14ac:dyDescent="0.3">
      <c r="B27" t="s">
        <v>1169</v>
      </c>
      <c r="D27" t="s">
        <v>1169</v>
      </c>
      <c r="E27" t="b">
        <f t="shared" si="0"/>
        <v>1</v>
      </c>
    </row>
    <row r="28" spans="1:5" x14ac:dyDescent="0.3">
      <c r="B28" t="s">
        <v>1165</v>
      </c>
      <c r="D28" t="s">
        <v>1165</v>
      </c>
      <c r="E28" t="b">
        <f t="shared" si="0"/>
        <v>1</v>
      </c>
    </row>
    <row r="29" spans="1:5" x14ac:dyDescent="0.3">
      <c r="B29" t="s">
        <v>1177</v>
      </c>
      <c r="D29" t="s">
        <v>1177</v>
      </c>
      <c r="E29" t="b">
        <f t="shared" si="0"/>
        <v>1</v>
      </c>
    </row>
    <row r="30" spans="1:5" x14ac:dyDescent="0.3">
      <c r="B30" t="s">
        <v>1179</v>
      </c>
      <c r="D30" t="s">
        <v>1179</v>
      </c>
      <c r="E30" t="b">
        <f t="shared" si="0"/>
        <v>1</v>
      </c>
    </row>
    <row r="31" spans="1:5" x14ac:dyDescent="0.3">
      <c r="B31" t="s">
        <v>1175</v>
      </c>
      <c r="D31" t="s">
        <v>1175</v>
      </c>
      <c r="E31" t="b">
        <f t="shared" si="0"/>
        <v>1</v>
      </c>
    </row>
    <row r="32" spans="1:5" x14ac:dyDescent="0.3">
      <c r="A32" t="s">
        <v>87</v>
      </c>
      <c r="B32" t="s">
        <v>992</v>
      </c>
      <c r="D32" t="s">
        <v>992</v>
      </c>
      <c r="E32" t="b">
        <f t="shared" si="0"/>
        <v>1</v>
      </c>
    </row>
    <row r="33" spans="1:5" x14ac:dyDescent="0.3">
      <c r="A33" t="s">
        <v>529</v>
      </c>
      <c r="B33" t="s">
        <v>1209</v>
      </c>
      <c r="D33" t="s">
        <v>1209</v>
      </c>
      <c r="E33" t="b">
        <f t="shared" si="0"/>
        <v>1</v>
      </c>
    </row>
    <row r="34" spans="1:5" x14ac:dyDescent="0.3">
      <c r="B34" t="s">
        <v>1207</v>
      </c>
      <c r="D34" t="s">
        <v>1207</v>
      </c>
      <c r="E34" t="b">
        <f t="shared" si="0"/>
        <v>1</v>
      </c>
    </row>
    <row r="35" spans="1:5" x14ac:dyDescent="0.3">
      <c r="B35" t="s">
        <v>1208</v>
      </c>
      <c r="D35" t="s">
        <v>1208</v>
      </c>
      <c r="E35" t="b">
        <f t="shared" si="0"/>
        <v>1</v>
      </c>
    </row>
    <row r="36" spans="1:5" x14ac:dyDescent="0.3">
      <c r="B36" t="s">
        <v>1210</v>
      </c>
      <c r="D36" t="s">
        <v>1210</v>
      </c>
      <c r="E36" t="b">
        <f t="shared" si="0"/>
        <v>1</v>
      </c>
    </row>
    <row r="37" spans="1:5" x14ac:dyDescent="0.3">
      <c r="A37" t="s">
        <v>294</v>
      </c>
      <c r="B37" t="s">
        <v>1083</v>
      </c>
      <c r="D37" t="s">
        <v>1083</v>
      </c>
      <c r="E37" t="b">
        <f t="shared" si="0"/>
        <v>1</v>
      </c>
    </row>
    <row r="38" spans="1:5" x14ac:dyDescent="0.3">
      <c r="A38" t="s">
        <v>131</v>
      </c>
      <c r="B38" t="s">
        <v>1015</v>
      </c>
      <c r="D38" t="s">
        <v>1015</v>
      </c>
      <c r="E38" t="b">
        <f t="shared" si="0"/>
        <v>1</v>
      </c>
    </row>
    <row r="39" spans="1:5" x14ac:dyDescent="0.3">
      <c r="A39" t="s">
        <v>404</v>
      </c>
      <c r="B39" t="s">
        <v>1117</v>
      </c>
      <c r="D39" t="s">
        <v>1117</v>
      </c>
      <c r="E39" t="b">
        <f t="shared" si="0"/>
        <v>1</v>
      </c>
    </row>
    <row r="40" spans="1:5" x14ac:dyDescent="0.3">
      <c r="A40" t="s">
        <v>177</v>
      </c>
      <c r="B40" t="s">
        <v>922</v>
      </c>
      <c r="D40" t="s">
        <v>922</v>
      </c>
      <c r="E40" t="b">
        <f t="shared" si="0"/>
        <v>1</v>
      </c>
    </row>
    <row r="41" spans="1:5" x14ac:dyDescent="0.3">
      <c r="B41" t="s">
        <v>933</v>
      </c>
      <c r="D41" t="s">
        <v>933</v>
      </c>
      <c r="E41" t="b">
        <f t="shared" si="0"/>
        <v>1</v>
      </c>
    </row>
    <row r="42" spans="1:5" x14ac:dyDescent="0.3">
      <c r="B42" t="s">
        <v>935</v>
      </c>
      <c r="D42" t="s">
        <v>935</v>
      </c>
      <c r="E42" t="b">
        <f t="shared" si="0"/>
        <v>1</v>
      </c>
    </row>
    <row r="43" spans="1:5" x14ac:dyDescent="0.3">
      <c r="B43" t="s">
        <v>934</v>
      </c>
      <c r="D43" t="s">
        <v>934</v>
      </c>
      <c r="E43" t="b">
        <f t="shared" si="0"/>
        <v>1</v>
      </c>
    </row>
    <row r="44" spans="1:5" x14ac:dyDescent="0.3">
      <c r="B44" t="s">
        <v>936</v>
      </c>
      <c r="D44" t="s">
        <v>936</v>
      </c>
      <c r="E44" t="b">
        <f t="shared" si="0"/>
        <v>1</v>
      </c>
    </row>
    <row r="45" spans="1:5" x14ac:dyDescent="0.3">
      <c r="B45" t="s">
        <v>937</v>
      </c>
      <c r="D45" t="s">
        <v>937</v>
      </c>
      <c r="E45" t="b">
        <f t="shared" si="0"/>
        <v>1</v>
      </c>
    </row>
    <row r="46" spans="1:5" x14ac:dyDescent="0.3">
      <c r="B46" t="s">
        <v>938</v>
      </c>
      <c r="D46" t="s">
        <v>938</v>
      </c>
      <c r="E46" t="b">
        <f t="shared" si="0"/>
        <v>1</v>
      </c>
    </row>
    <row r="47" spans="1:5" x14ac:dyDescent="0.3">
      <c r="B47" t="s">
        <v>940</v>
      </c>
      <c r="D47" t="s">
        <v>940</v>
      </c>
      <c r="E47" t="b">
        <f t="shared" si="0"/>
        <v>1</v>
      </c>
    </row>
    <row r="48" spans="1:5" x14ac:dyDescent="0.3">
      <c r="A48" t="s">
        <v>496</v>
      </c>
      <c r="B48" t="s">
        <v>1183</v>
      </c>
      <c r="D48" t="s">
        <v>1183</v>
      </c>
      <c r="E48" t="b">
        <f t="shared" si="0"/>
        <v>1</v>
      </c>
    </row>
    <row r="49" spans="1:14" x14ac:dyDescent="0.3">
      <c r="A49" t="s">
        <v>370</v>
      </c>
      <c r="B49" t="s">
        <v>1118</v>
      </c>
      <c r="D49" t="s">
        <v>1118</v>
      </c>
      <c r="E49" t="b">
        <f t="shared" si="0"/>
        <v>1</v>
      </c>
    </row>
    <row r="50" spans="1:14" x14ac:dyDescent="0.3">
      <c r="A50" t="s">
        <v>413</v>
      </c>
      <c r="B50" t="s">
        <v>1141</v>
      </c>
      <c r="D50" t="s">
        <v>1141</v>
      </c>
      <c r="E50" t="b">
        <f t="shared" si="0"/>
        <v>1</v>
      </c>
    </row>
    <row r="51" spans="1:14" x14ac:dyDescent="0.3">
      <c r="A51" t="s">
        <v>524</v>
      </c>
      <c r="B51" t="s">
        <v>1205</v>
      </c>
      <c r="D51" t="s">
        <v>1205</v>
      </c>
      <c r="E51" t="b">
        <f t="shared" si="0"/>
        <v>1</v>
      </c>
    </row>
    <row r="52" spans="1:14" x14ac:dyDescent="0.3">
      <c r="A52" t="s">
        <v>298</v>
      </c>
      <c r="B52" t="s">
        <v>1082</v>
      </c>
      <c r="D52" t="s">
        <v>1082</v>
      </c>
      <c r="E52" t="b">
        <f t="shared" si="0"/>
        <v>1</v>
      </c>
    </row>
    <row r="53" spans="1:14" x14ac:dyDescent="0.3">
      <c r="B53" t="s">
        <v>1090</v>
      </c>
      <c r="D53" t="s">
        <v>1090</v>
      </c>
      <c r="E53" t="b">
        <f t="shared" si="0"/>
        <v>1</v>
      </c>
    </row>
    <row r="54" spans="1:14" x14ac:dyDescent="0.3">
      <c r="A54" t="s">
        <v>124</v>
      </c>
      <c r="B54" t="s">
        <v>1023</v>
      </c>
      <c r="D54" t="s">
        <v>1023</v>
      </c>
      <c r="E54" t="b">
        <f t="shared" si="0"/>
        <v>1</v>
      </c>
    </row>
    <row r="55" spans="1:14" x14ac:dyDescent="0.3">
      <c r="A55" t="s">
        <v>389</v>
      </c>
      <c r="B55" t="s">
        <v>1113</v>
      </c>
      <c r="D55" t="s">
        <v>1113</v>
      </c>
      <c r="E55" t="b">
        <f t="shared" si="0"/>
        <v>1</v>
      </c>
    </row>
    <row r="56" spans="1:14" x14ac:dyDescent="0.3">
      <c r="A56" t="s">
        <v>226</v>
      </c>
      <c r="B56" t="s">
        <v>1053</v>
      </c>
      <c r="D56" t="s">
        <v>1053</v>
      </c>
      <c r="E56" t="b">
        <f t="shared" si="0"/>
        <v>1</v>
      </c>
    </row>
    <row r="57" spans="1:14" x14ac:dyDescent="0.3">
      <c r="A57" t="s">
        <v>253</v>
      </c>
      <c r="B57" t="s">
        <v>1061</v>
      </c>
      <c r="D57" t="s">
        <v>1061</v>
      </c>
      <c r="E57" t="b">
        <f t="shared" si="0"/>
        <v>1</v>
      </c>
    </row>
    <row r="58" spans="1:14" x14ac:dyDescent="0.3">
      <c r="B58" t="s">
        <v>1046</v>
      </c>
      <c r="D58" t="s">
        <v>1046</v>
      </c>
      <c r="E58" t="b">
        <f t="shared" si="0"/>
        <v>1</v>
      </c>
      <c r="L58" t="s">
        <v>1308</v>
      </c>
      <c r="M58" s="74" t="s">
        <v>1145</v>
      </c>
      <c r="N58" t="str">
        <f>VLOOKUP(M58,Sheet3!C:F,4,0)</f>
        <v>主营业务成本-履约成本-保险费（内销）</v>
      </c>
    </row>
    <row r="59" spans="1:14" x14ac:dyDescent="0.3">
      <c r="B59" t="s">
        <v>1060</v>
      </c>
      <c r="D59" t="s">
        <v>1060</v>
      </c>
      <c r="E59" t="b">
        <f t="shared" si="0"/>
        <v>1</v>
      </c>
      <c r="M59" s="74" t="s">
        <v>1147</v>
      </c>
      <c r="N59" t="str">
        <f>VLOOKUP(M59,Sheet3!C:F,4,0)</f>
        <v>主营业务成本-履约成本-保险费（出口）</v>
      </c>
    </row>
    <row r="60" spans="1:14" x14ac:dyDescent="0.3">
      <c r="B60" t="s">
        <v>1074</v>
      </c>
      <c r="D60" t="s">
        <v>1074</v>
      </c>
      <c r="E60" t="b">
        <f t="shared" si="0"/>
        <v>1</v>
      </c>
      <c r="M60" s="74" t="s">
        <v>1135</v>
      </c>
      <c r="N60" t="str">
        <f>VLOOKUP(M60,Sheet3!C:F,4,0)</f>
        <v>主营业务成本-履约成本-报关及港杂费</v>
      </c>
    </row>
    <row r="61" spans="1:14" x14ac:dyDescent="0.3">
      <c r="B61" t="s">
        <v>1072</v>
      </c>
      <c r="D61" t="s">
        <v>1072</v>
      </c>
      <c r="E61" t="b">
        <f t="shared" si="0"/>
        <v>1</v>
      </c>
      <c r="M61" t="s">
        <v>948</v>
      </c>
      <c r="N61" t="str">
        <f>VLOOKUP(M61,Sheet3!C:F,4,0)</f>
        <v>其他福利-外租档口结算</v>
      </c>
    </row>
    <row r="62" spans="1:14" x14ac:dyDescent="0.3">
      <c r="B62" t="s">
        <v>1077</v>
      </c>
      <c r="D62" t="s">
        <v>1077</v>
      </c>
      <c r="E62" t="b">
        <f t="shared" ref="E62:E125" si="1">D62=B62</f>
        <v>1</v>
      </c>
      <c r="M62" t="s">
        <v>976</v>
      </c>
      <c r="N62" t="str">
        <f>VLOOKUP(M62,Sheet3!C:F,4,0)</f>
        <v>食堂福利-员工餐费</v>
      </c>
    </row>
    <row r="63" spans="1:14" x14ac:dyDescent="0.3">
      <c r="B63" t="s">
        <v>1051</v>
      </c>
      <c r="D63" t="s">
        <v>1051</v>
      </c>
      <c r="E63" t="b">
        <f t="shared" si="1"/>
        <v>1</v>
      </c>
      <c r="M63" s="74" t="s">
        <v>1192</v>
      </c>
      <c r="N63" t="str">
        <f>VLOOKUP(M63,Sheet3!C:F,4,0)</f>
        <v>长期股权投资-投资成本</v>
      </c>
    </row>
    <row r="64" spans="1:14" x14ac:dyDescent="0.3">
      <c r="B64" t="s">
        <v>1057</v>
      </c>
      <c r="D64" t="s">
        <v>1057</v>
      </c>
      <c r="E64" t="b">
        <f t="shared" si="1"/>
        <v>1</v>
      </c>
      <c r="M64" t="s">
        <v>963</v>
      </c>
      <c r="N64" t="str">
        <f>VLOOKUP(M64,Sheet3!C:F,4,0)</f>
        <v>其他福利-福利社费用</v>
      </c>
    </row>
    <row r="65" spans="1:14" x14ac:dyDescent="0.3">
      <c r="B65" t="s">
        <v>1064</v>
      </c>
      <c r="D65" t="s">
        <v>1064</v>
      </c>
      <c r="E65" t="b">
        <f t="shared" si="1"/>
        <v>1</v>
      </c>
      <c r="M65" s="74" t="s">
        <v>1297</v>
      </c>
      <c r="N65" t="str">
        <f>VLOOKUP(M65,Sheet3!C:F,4,0)</f>
        <v>子公司代扣费用</v>
      </c>
    </row>
    <row r="66" spans="1:14" x14ac:dyDescent="0.3">
      <c r="B66" t="s">
        <v>1066</v>
      </c>
      <c r="D66" t="s">
        <v>1066</v>
      </c>
      <c r="E66" t="b">
        <f t="shared" si="1"/>
        <v>1</v>
      </c>
      <c r="M66" s="74" t="s">
        <v>1202</v>
      </c>
      <c r="N66" t="str">
        <f>VLOOKUP(M66,Sheet3!C:F,4,0)</f>
        <v>其他收益-直接进入其他收益的政府补助</v>
      </c>
    </row>
    <row r="67" spans="1:14" x14ac:dyDescent="0.3">
      <c r="A67" t="s">
        <v>385</v>
      </c>
      <c r="B67" t="s">
        <v>984</v>
      </c>
      <c r="D67" t="s">
        <v>984</v>
      </c>
      <c r="E67" t="b">
        <f t="shared" si="1"/>
        <v>1</v>
      </c>
      <c r="M67" s="74" t="s">
        <v>1303</v>
      </c>
      <c r="N67" t="str">
        <f>VLOOKUP(M67,Sheet3!C:F,4,0)</f>
        <v>应付融资租入固定资产租赁费</v>
      </c>
    </row>
    <row r="68" spans="1:14" x14ac:dyDescent="0.3">
      <c r="B68" t="s">
        <v>1258</v>
      </c>
      <c r="D68" t="s">
        <v>1258</v>
      </c>
      <c r="E68" t="b">
        <f t="shared" si="1"/>
        <v>1</v>
      </c>
      <c r="M68" s="74" t="s">
        <v>1200</v>
      </c>
      <c r="N68" t="str">
        <f>VLOOKUP(M68,Sheet3!C:F,4,0)</f>
        <v>资产处置损益-处置非流动资产利得</v>
      </c>
    </row>
    <row r="69" spans="1:14" x14ac:dyDescent="0.3">
      <c r="A69" t="s">
        <v>344</v>
      </c>
      <c r="B69" t="s">
        <v>1101</v>
      </c>
      <c r="D69" t="s">
        <v>1101</v>
      </c>
      <c r="E69" t="b">
        <f t="shared" si="1"/>
        <v>1</v>
      </c>
      <c r="M69" s="74" t="s">
        <v>1198</v>
      </c>
      <c r="N69" t="str">
        <f>VLOOKUP(M69,Sheet3!C:F,4,0)</f>
        <v>递延收益-与资产相关的政府补贴</v>
      </c>
    </row>
    <row r="70" spans="1:14" x14ac:dyDescent="0.3">
      <c r="A70" t="s">
        <v>341</v>
      </c>
      <c r="B70" t="s">
        <v>1110</v>
      </c>
      <c r="D70" t="s">
        <v>1110</v>
      </c>
      <c r="E70" t="b">
        <f t="shared" si="1"/>
        <v>1</v>
      </c>
      <c r="M70" s="74" t="s">
        <v>1299</v>
      </c>
      <c r="N70" t="str">
        <f>VLOOKUP(M70,Sheet3!C:F,4,0)</f>
        <v>集团外保证金</v>
      </c>
    </row>
    <row r="71" spans="1:14" x14ac:dyDescent="0.3">
      <c r="A71" t="s">
        <v>331</v>
      </c>
      <c r="B71" t="s">
        <v>1126</v>
      </c>
      <c r="D71" t="s">
        <v>1126</v>
      </c>
      <c r="E71" t="b">
        <f t="shared" si="1"/>
        <v>1</v>
      </c>
      <c r="M71" s="74" t="s">
        <v>1301</v>
      </c>
      <c r="N71" t="str">
        <f>VLOOKUP(M71,Sheet3!C:F,4,0)</f>
        <v>集团外押金</v>
      </c>
    </row>
    <row r="72" spans="1:14" x14ac:dyDescent="0.3">
      <c r="A72" t="s">
        <v>301</v>
      </c>
      <c r="B72" t="s">
        <v>1099</v>
      </c>
      <c r="D72" t="s">
        <v>1099</v>
      </c>
      <c r="E72" t="b">
        <f t="shared" si="1"/>
        <v>1</v>
      </c>
      <c r="M72" t="s">
        <v>916</v>
      </c>
      <c r="N72" t="str">
        <f>VLOOKUP(M72,Sheet3!C:F,4,0)</f>
        <v>差旅费-商旅机票费</v>
      </c>
    </row>
    <row r="73" spans="1:14" x14ac:dyDescent="0.3">
      <c r="A73" t="s">
        <v>366</v>
      </c>
      <c r="B73" t="s">
        <v>1137</v>
      </c>
      <c r="D73" t="s">
        <v>1137</v>
      </c>
      <c r="E73" t="b">
        <f t="shared" si="1"/>
        <v>1</v>
      </c>
      <c r="M73" t="s">
        <v>917</v>
      </c>
      <c r="N73" t="str">
        <f>VLOOKUP(M73,Sheet3!C:F,4,0)</f>
        <v>差旅费-商旅长途汽车费用</v>
      </c>
    </row>
    <row r="74" spans="1:14" x14ac:dyDescent="0.3">
      <c r="A74" t="s">
        <v>552</v>
      </c>
      <c r="B74" t="s">
        <v>1188</v>
      </c>
      <c r="D74" t="s">
        <v>1188</v>
      </c>
      <c r="E74" t="b">
        <f t="shared" si="1"/>
        <v>1</v>
      </c>
      <c r="M74" t="s">
        <v>918</v>
      </c>
      <c r="N74" t="str">
        <f>VLOOKUP(M74,Sheet3!C:F,4,0)</f>
        <v>差旅费-商旅火车费用</v>
      </c>
    </row>
    <row r="75" spans="1:14" x14ac:dyDescent="0.3">
      <c r="A75" t="s">
        <v>129</v>
      </c>
      <c r="B75" t="s">
        <v>1013</v>
      </c>
      <c r="D75" t="s">
        <v>1013</v>
      </c>
      <c r="E75" t="b">
        <f t="shared" si="1"/>
        <v>1</v>
      </c>
      <c r="M75" t="s">
        <v>919</v>
      </c>
      <c r="N75" t="str">
        <f>VLOOKUP(M75,Sheet3!C:F,4,0)</f>
        <v>差旅费-商旅住宿费</v>
      </c>
    </row>
    <row r="76" spans="1:14" x14ac:dyDescent="0.3">
      <c r="A76" t="s">
        <v>555</v>
      </c>
      <c r="B76" s="75" t="s">
        <v>1272</v>
      </c>
      <c r="E76" t="b">
        <f t="shared" si="1"/>
        <v>0</v>
      </c>
      <c r="M76" t="s">
        <v>920</v>
      </c>
      <c r="N76" t="str">
        <f>VLOOKUP(M76,Sheet3!C:F,4,0)</f>
        <v>差旅费-商旅市内交通费</v>
      </c>
    </row>
    <row r="77" spans="1:14" x14ac:dyDescent="0.3">
      <c r="B77" s="76" t="s">
        <v>1261</v>
      </c>
      <c r="E77" t="b">
        <f t="shared" si="1"/>
        <v>0</v>
      </c>
      <c r="L77" t="s">
        <v>1307</v>
      </c>
      <c r="M77" s="74" t="s">
        <v>1145</v>
      </c>
      <c r="N77" t="str">
        <f>VLOOKUP(M77,Sheet3!C:F,4,0)</f>
        <v>主营业务成本-履约成本-保险费（内销）</v>
      </c>
    </row>
    <row r="78" spans="1:14" x14ac:dyDescent="0.3">
      <c r="B78" s="76" t="s">
        <v>1269</v>
      </c>
      <c r="E78" t="b">
        <f t="shared" si="1"/>
        <v>0</v>
      </c>
      <c r="M78" s="74" t="s">
        <v>1135</v>
      </c>
      <c r="N78" t="str">
        <f>VLOOKUP(M78,Sheet3!C:F,4,0)</f>
        <v>主营业务成本-履约成本-报关及港杂费</v>
      </c>
    </row>
    <row r="79" spans="1:14" x14ac:dyDescent="0.3">
      <c r="B79" s="76" t="s">
        <v>1279</v>
      </c>
      <c r="E79" t="b">
        <f t="shared" si="1"/>
        <v>0</v>
      </c>
      <c r="M79" s="74" t="s">
        <v>1200</v>
      </c>
      <c r="N79" t="str">
        <f>VLOOKUP(M79,Sheet3!C:F,4,0)</f>
        <v>资产处置损益-处置非流动资产利得</v>
      </c>
    </row>
    <row r="80" spans="1:14" x14ac:dyDescent="0.3">
      <c r="B80" s="76" t="s">
        <v>1260</v>
      </c>
      <c r="E80" t="b">
        <f t="shared" si="1"/>
        <v>0</v>
      </c>
      <c r="M80" s="74" t="s">
        <v>1198</v>
      </c>
      <c r="N80" t="str">
        <f>VLOOKUP(M80,Sheet3!C:F,4,0)</f>
        <v>递延收益-与资产相关的政府补贴</v>
      </c>
    </row>
    <row r="81" spans="1:14" x14ac:dyDescent="0.3">
      <c r="B81" s="76" t="s">
        <v>1235</v>
      </c>
      <c r="E81" t="b">
        <f t="shared" si="1"/>
        <v>0</v>
      </c>
      <c r="M81" s="74" t="s">
        <v>1147</v>
      </c>
      <c r="N81" t="str">
        <f>VLOOKUP(M81,Sheet3!C:F,4,0)</f>
        <v>主营业务成本-履约成本-保险费（出口）</v>
      </c>
    </row>
    <row r="82" spans="1:14" x14ac:dyDescent="0.3">
      <c r="B82" s="76" t="s">
        <v>1233</v>
      </c>
      <c r="E82" t="b">
        <f t="shared" si="1"/>
        <v>0</v>
      </c>
      <c r="M82" s="74" t="s">
        <v>1202</v>
      </c>
      <c r="N82" t="str">
        <f>VLOOKUP(M82,Sheet3!C:F,4,0)</f>
        <v>其他收益-直接进入其他收益的政府补助</v>
      </c>
    </row>
    <row r="83" spans="1:14" x14ac:dyDescent="0.3">
      <c r="B83" s="76" t="s">
        <v>1274</v>
      </c>
      <c r="E83" t="b">
        <f t="shared" si="1"/>
        <v>0</v>
      </c>
      <c r="M83" s="74" t="s">
        <v>1192</v>
      </c>
      <c r="N83" t="str">
        <f>VLOOKUP(M83,Sheet3!C:F,4,0)</f>
        <v>长期股权投资-投资成本</v>
      </c>
    </row>
    <row r="84" spans="1:14" x14ac:dyDescent="0.3">
      <c r="B84" s="76" t="s">
        <v>1234</v>
      </c>
      <c r="E84" t="b">
        <f t="shared" si="1"/>
        <v>0</v>
      </c>
    </row>
    <row r="85" spans="1:14" x14ac:dyDescent="0.3">
      <c r="B85" t="s">
        <v>1264</v>
      </c>
      <c r="D85" t="s">
        <v>1264</v>
      </c>
      <c r="E85" t="b">
        <f t="shared" si="1"/>
        <v>1</v>
      </c>
    </row>
    <row r="86" spans="1:14" x14ac:dyDescent="0.3">
      <c r="A86" t="s">
        <v>547</v>
      </c>
      <c r="B86" t="s">
        <v>1138</v>
      </c>
      <c r="D86" t="s">
        <v>1138</v>
      </c>
      <c r="E86" t="b">
        <f t="shared" si="1"/>
        <v>1</v>
      </c>
    </row>
    <row r="87" spans="1:14" x14ac:dyDescent="0.3">
      <c r="A87" t="s">
        <v>542</v>
      </c>
      <c r="B87" t="s">
        <v>1129</v>
      </c>
      <c r="D87" t="s">
        <v>1129</v>
      </c>
      <c r="E87" t="b">
        <f t="shared" si="1"/>
        <v>1</v>
      </c>
    </row>
    <row r="88" spans="1:14" x14ac:dyDescent="0.3">
      <c r="B88" t="s">
        <v>1131</v>
      </c>
      <c r="D88" t="s">
        <v>1131</v>
      </c>
      <c r="E88" t="b">
        <f t="shared" si="1"/>
        <v>1</v>
      </c>
    </row>
    <row r="89" spans="1:14" x14ac:dyDescent="0.3">
      <c r="A89" t="s">
        <v>264</v>
      </c>
      <c r="B89" t="s">
        <v>1069</v>
      </c>
      <c r="D89" t="s">
        <v>1069</v>
      </c>
      <c r="E89" t="b">
        <f t="shared" si="1"/>
        <v>1</v>
      </c>
    </row>
    <row r="90" spans="1:14" x14ac:dyDescent="0.3">
      <c r="B90" t="s">
        <v>1048</v>
      </c>
      <c r="D90" t="s">
        <v>1048</v>
      </c>
      <c r="E90" t="b">
        <f t="shared" si="1"/>
        <v>1</v>
      </c>
    </row>
    <row r="91" spans="1:14" x14ac:dyDescent="0.3">
      <c r="A91" t="s">
        <v>393</v>
      </c>
      <c r="B91" t="s">
        <v>1104</v>
      </c>
      <c r="D91" t="s">
        <v>1104</v>
      </c>
      <c r="E91" t="b">
        <f t="shared" si="1"/>
        <v>1</v>
      </c>
    </row>
    <row r="92" spans="1:14" x14ac:dyDescent="0.3">
      <c r="A92" t="s">
        <v>348</v>
      </c>
      <c r="B92" t="s">
        <v>1112</v>
      </c>
      <c r="D92" t="s">
        <v>1112</v>
      </c>
      <c r="E92" t="b">
        <f t="shared" si="1"/>
        <v>1</v>
      </c>
    </row>
    <row r="93" spans="1:14" x14ac:dyDescent="0.3">
      <c r="B93" t="s">
        <v>1095</v>
      </c>
      <c r="D93" t="s">
        <v>1095</v>
      </c>
      <c r="E93" t="b">
        <f t="shared" si="1"/>
        <v>1</v>
      </c>
    </row>
    <row r="94" spans="1:14" x14ac:dyDescent="0.3">
      <c r="B94" t="s">
        <v>1087</v>
      </c>
      <c r="D94" t="s">
        <v>1087</v>
      </c>
      <c r="E94" t="b">
        <f t="shared" si="1"/>
        <v>1</v>
      </c>
    </row>
    <row r="95" spans="1:14" x14ac:dyDescent="0.3">
      <c r="B95" t="s">
        <v>1107</v>
      </c>
      <c r="D95" t="s">
        <v>1107</v>
      </c>
      <c r="E95" t="b">
        <f t="shared" si="1"/>
        <v>1</v>
      </c>
    </row>
    <row r="96" spans="1:14" x14ac:dyDescent="0.3">
      <c r="A96" t="s">
        <v>502</v>
      </c>
      <c r="B96" t="s">
        <v>1194</v>
      </c>
      <c r="D96" t="s">
        <v>1194</v>
      </c>
      <c r="E96" t="b">
        <f t="shared" si="1"/>
        <v>1</v>
      </c>
    </row>
    <row r="97" spans="1:5" x14ac:dyDescent="0.3">
      <c r="A97" t="s">
        <v>67</v>
      </c>
      <c r="B97" t="s">
        <v>975</v>
      </c>
      <c r="D97" t="s">
        <v>975</v>
      </c>
      <c r="E97" t="b">
        <f t="shared" si="1"/>
        <v>1</v>
      </c>
    </row>
    <row r="98" spans="1:5" x14ac:dyDescent="0.3">
      <c r="A98" t="s">
        <v>306</v>
      </c>
      <c r="B98" t="s">
        <v>1097</v>
      </c>
      <c r="D98" t="s">
        <v>1097</v>
      </c>
      <c r="E98" t="b">
        <f t="shared" si="1"/>
        <v>1</v>
      </c>
    </row>
    <row r="99" spans="1:5" x14ac:dyDescent="0.3">
      <c r="B99" t="s">
        <v>1111</v>
      </c>
      <c r="D99" t="s">
        <v>1111</v>
      </c>
      <c r="E99" t="b">
        <f t="shared" si="1"/>
        <v>1</v>
      </c>
    </row>
    <row r="100" spans="1:5" x14ac:dyDescent="0.3">
      <c r="A100" t="s">
        <v>319</v>
      </c>
      <c r="B100" t="s">
        <v>1125</v>
      </c>
      <c r="D100" t="s">
        <v>1125</v>
      </c>
      <c r="E100" t="b">
        <f t="shared" si="1"/>
        <v>1</v>
      </c>
    </row>
    <row r="101" spans="1:5" x14ac:dyDescent="0.3">
      <c r="A101" t="s">
        <v>200</v>
      </c>
      <c r="B101" t="s">
        <v>1193</v>
      </c>
      <c r="D101" t="s">
        <v>1193</v>
      </c>
      <c r="E101" t="b">
        <f t="shared" si="1"/>
        <v>1</v>
      </c>
    </row>
    <row r="102" spans="1:5" x14ac:dyDescent="0.3">
      <c r="B102" t="s">
        <v>1037</v>
      </c>
      <c r="D102" t="s">
        <v>1037</v>
      </c>
      <c r="E102" t="b">
        <f t="shared" si="1"/>
        <v>1</v>
      </c>
    </row>
    <row r="103" spans="1:5" x14ac:dyDescent="0.3">
      <c r="B103" t="s">
        <v>1055</v>
      </c>
      <c r="D103" t="s">
        <v>1055</v>
      </c>
      <c r="E103" t="b">
        <f t="shared" si="1"/>
        <v>1</v>
      </c>
    </row>
    <row r="104" spans="1:5" x14ac:dyDescent="0.3">
      <c r="B104" t="s">
        <v>1047</v>
      </c>
      <c r="D104" t="s">
        <v>1047</v>
      </c>
      <c r="E104" t="b">
        <f t="shared" si="1"/>
        <v>1</v>
      </c>
    </row>
    <row r="105" spans="1:5" x14ac:dyDescent="0.3">
      <c r="B105" t="s">
        <v>1054</v>
      </c>
      <c r="D105" t="s">
        <v>1054</v>
      </c>
      <c r="E105" t="b">
        <f t="shared" si="1"/>
        <v>1</v>
      </c>
    </row>
    <row r="106" spans="1:5" x14ac:dyDescent="0.3">
      <c r="B106" t="s">
        <v>1045</v>
      </c>
      <c r="D106" t="s">
        <v>1045</v>
      </c>
      <c r="E106" t="b">
        <f t="shared" si="1"/>
        <v>1</v>
      </c>
    </row>
    <row r="107" spans="1:5" x14ac:dyDescent="0.3">
      <c r="B107" t="s">
        <v>1043</v>
      </c>
      <c r="D107" t="s">
        <v>1043</v>
      </c>
      <c r="E107" t="b">
        <f t="shared" si="1"/>
        <v>1</v>
      </c>
    </row>
    <row r="108" spans="1:5" x14ac:dyDescent="0.3">
      <c r="B108" t="s">
        <v>1044</v>
      </c>
      <c r="D108" t="s">
        <v>1044</v>
      </c>
      <c r="E108" t="b">
        <f t="shared" si="1"/>
        <v>1</v>
      </c>
    </row>
    <row r="109" spans="1:5" x14ac:dyDescent="0.3">
      <c r="B109" t="s">
        <v>1052</v>
      </c>
      <c r="D109" t="s">
        <v>1052</v>
      </c>
      <c r="E109" t="b">
        <f t="shared" si="1"/>
        <v>1</v>
      </c>
    </row>
    <row r="110" spans="1:5" x14ac:dyDescent="0.3">
      <c r="B110" t="s">
        <v>1065</v>
      </c>
      <c r="D110" t="s">
        <v>1065</v>
      </c>
      <c r="E110" t="b">
        <f t="shared" si="1"/>
        <v>1</v>
      </c>
    </row>
    <row r="111" spans="1:5" x14ac:dyDescent="0.3">
      <c r="A111" t="s">
        <v>96</v>
      </c>
      <c r="B111" t="s">
        <v>1016</v>
      </c>
      <c r="D111" t="s">
        <v>1016</v>
      </c>
      <c r="E111" t="b">
        <f t="shared" si="1"/>
        <v>1</v>
      </c>
    </row>
    <row r="112" spans="1:5" x14ac:dyDescent="0.3">
      <c r="B112" t="s">
        <v>1014</v>
      </c>
      <c r="D112" t="s">
        <v>1014</v>
      </c>
      <c r="E112" t="b">
        <f t="shared" si="1"/>
        <v>1</v>
      </c>
    </row>
    <row r="113" spans="1:12" x14ac:dyDescent="0.3">
      <c r="A113" t="s">
        <v>64</v>
      </c>
      <c r="B113" t="s">
        <v>1001</v>
      </c>
      <c r="D113" t="s">
        <v>1001</v>
      </c>
      <c r="E113" t="b">
        <f t="shared" si="1"/>
        <v>1</v>
      </c>
    </row>
    <row r="114" spans="1:12" x14ac:dyDescent="0.3">
      <c r="B114" t="s">
        <v>1000</v>
      </c>
      <c r="D114" t="s">
        <v>1000</v>
      </c>
      <c r="E114" t="b">
        <f t="shared" si="1"/>
        <v>1</v>
      </c>
    </row>
    <row r="115" spans="1:12" x14ac:dyDescent="0.3">
      <c r="B115" t="s">
        <v>998</v>
      </c>
      <c r="D115" t="s">
        <v>998</v>
      </c>
      <c r="E115" t="b">
        <f t="shared" si="1"/>
        <v>1</v>
      </c>
    </row>
    <row r="116" spans="1:12" x14ac:dyDescent="0.3">
      <c r="B116" t="s">
        <v>999</v>
      </c>
      <c r="D116" t="s">
        <v>999</v>
      </c>
      <c r="E116" t="b">
        <f t="shared" si="1"/>
        <v>1</v>
      </c>
    </row>
    <row r="117" spans="1:12" x14ac:dyDescent="0.3">
      <c r="B117" t="s">
        <v>997</v>
      </c>
      <c r="D117" t="s">
        <v>997</v>
      </c>
      <c r="E117" t="b">
        <f t="shared" si="1"/>
        <v>1</v>
      </c>
    </row>
    <row r="118" spans="1:12" x14ac:dyDescent="0.3">
      <c r="B118" t="s">
        <v>995</v>
      </c>
      <c r="D118" t="s">
        <v>995</v>
      </c>
      <c r="E118" t="b">
        <f t="shared" si="1"/>
        <v>1</v>
      </c>
    </row>
    <row r="119" spans="1:12" x14ac:dyDescent="0.3">
      <c r="B119" t="s">
        <v>996</v>
      </c>
      <c r="D119" t="s">
        <v>996</v>
      </c>
      <c r="E119" t="b">
        <f t="shared" si="1"/>
        <v>1</v>
      </c>
    </row>
    <row r="120" spans="1:12" ht="18.399999999999999" x14ac:dyDescent="0.3">
      <c r="D120" s="74" t="s">
        <v>994</v>
      </c>
      <c r="E120" t="b">
        <f t="shared" si="1"/>
        <v>0</v>
      </c>
      <c r="K120" s="74" t="s">
        <v>994</v>
      </c>
      <c r="L120" s="72" t="s">
        <v>993</v>
      </c>
    </row>
    <row r="121" spans="1:12" ht="18.399999999999999" x14ac:dyDescent="0.3">
      <c r="A121" t="s">
        <v>398</v>
      </c>
      <c r="B121" t="s">
        <v>1106</v>
      </c>
      <c r="D121" t="s">
        <v>1106</v>
      </c>
      <c r="E121" t="b">
        <f t="shared" si="1"/>
        <v>1</v>
      </c>
      <c r="K121" t="s">
        <v>1003</v>
      </c>
      <c r="L121" s="72" t="s">
        <v>1002</v>
      </c>
    </row>
    <row r="122" spans="1:12" x14ac:dyDescent="0.3">
      <c r="A122" t="s">
        <v>352</v>
      </c>
      <c r="B122" t="s">
        <v>1096</v>
      </c>
      <c r="D122" t="s">
        <v>1096</v>
      </c>
      <c r="E122" t="b">
        <f t="shared" si="1"/>
        <v>1</v>
      </c>
    </row>
    <row r="123" spans="1:12" x14ac:dyDescent="0.3">
      <c r="A123" t="s">
        <v>36</v>
      </c>
      <c r="B123" t="s">
        <v>968</v>
      </c>
      <c r="D123" t="s">
        <v>968</v>
      </c>
      <c r="E123" t="b">
        <f t="shared" si="1"/>
        <v>1</v>
      </c>
    </row>
    <row r="124" spans="1:12" x14ac:dyDescent="0.3">
      <c r="B124" t="s">
        <v>964</v>
      </c>
      <c r="D124" t="s">
        <v>964</v>
      </c>
      <c r="E124" t="b">
        <f t="shared" si="1"/>
        <v>1</v>
      </c>
    </row>
    <row r="125" spans="1:12" x14ac:dyDescent="0.3">
      <c r="B125" t="s">
        <v>952</v>
      </c>
      <c r="D125" t="s">
        <v>952</v>
      </c>
      <c r="E125" t="b">
        <f t="shared" si="1"/>
        <v>1</v>
      </c>
    </row>
    <row r="126" spans="1:12" x14ac:dyDescent="0.3">
      <c r="B126" t="s">
        <v>957</v>
      </c>
      <c r="D126" t="s">
        <v>957</v>
      </c>
      <c r="E126" t="b">
        <f t="shared" ref="E126:E188" si="2">D126=B126</f>
        <v>1</v>
      </c>
    </row>
    <row r="127" spans="1:12" x14ac:dyDescent="0.3">
      <c r="B127" t="s">
        <v>950</v>
      </c>
      <c r="D127" t="s">
        <v>950</v>
      </c>
      <c r="E127" t="b">
        <f t="shared" si="2"/>
        <v>1</v>
      </c>
    </row>
    <row r="128" spans="1:12" x14ac:dyDescent="0.3">
      <c r="B128" t="s">
        <v>958</v>
      </c>
      <c r="D128" t="s">
        <v>958</v>
      </c>
      <c r="E128" t="b">
        <f t="shared" si="2"/>
        <v>1</v>
      </c>
    </row>
    <row r="129" spans="1:5" x14ac:dyDescent="0.3">
      <c r="B129" t="s">
        <v>991</v>
      </c>
      <c r="D129" t="s">
        <v>991</v>
      </c>
      <c r="E129" t="b">
        <f t="shared" si="2"/>
        <v>1</v>
      </c>
    </row>
    <row r="130" spans="1:5" x14ac:dyDescent="0.3">
      <c r="B130" t="s">
        <v>955</v>
      </c>
      <c r="D130" t="s">
        <v>955</v>
      </c>
      <c r="E130" t="b">
        <f t="shared" si="2"/>
        <v>1</v>
      </c>
    </row>
    <row r="131" spans="1:5" x14ac:dyDescent="0.3">
      <c r="B131" t="s">
        <v>960</v>
      </c>
      <c r="D131" t="s">
        <v>960</v>
      </c>
      <c r="E131" t="b">
        <f t="shared" si="2"/>
        <v>1</v>
      </c>
    </row>
    <row r="132" spans="1:5" x14ac:dyDescent="0.3">
      <c r="B132" t="s">
        <v>977</v>
      </c>
      <c r="D132" t="s">
        <v>977</v>
      </c>
      <c r="E132" t="b">
        <f t="shared" si="2"/>
        <v>1</v>
      </c>
    </row>
    <row r="133" spans="1:5" x14ac:dyDescent="0.3">
      <c r="A133" t="s">
        <v>175</v>
      </c>
      <c r="B133" t="s">
        <v>1034</v>
      </c>
      <c r="D133" t="s">
        <v>1034</v>
      </c>
      <c r="E133" t="b">
        <f t="shared" si="2"/>
        <v>1</v>
      </c>
    </row>
    <row r="134" spans="1:5" x14ac:dyDescent="0.3">
      <c r="A134" t="s">
        <v>17</v>
      </c>
      <c r="B134" t="s">
        <v>970</v>
      </c>
      <c r="D134" t="s">
        <v>970</v>
      </c>
      <c r="E134" t="b">
        <f t="shared" si="2"/>
        <v>1</v>
      </c>
    </row>
    <row r="135" spans="1:5" x14ac:dyDescent="0.3">
      <c r="B135" t="s">
        <v>962</v>
      </c>
      <c r="D135" t="s">
        <v>962</v>
      </c>
      <c r="E135" t="b">
        <f t="shared" si="2"/>
        <v>1</v>
      </c>
    </row>
    <row r="136" spans="1:5" x14ac:dyDescent="0.3">
      <c r="B136" t="s">
        <v>969</v>
      </c>
      <c r="D136" t="s">
        <v>969</v>
      </c>
      <c r="E136" t="b">
        <f t="shared" si="2"/>
        <v>1</v>
      </c>
    </row>
    <row r="137" spans="1:5" x14ac:dyDescent="0.3">
      <c r="B137" t="s">
        <v>944</v>
      </c>
      <c r="D137" t="s">
        <v>944</v>
      </c>
      <c r="E137" t="b">
        <f t="shared" si="2"/>
        <v>1</v>
      </c>
    </row>
    <row r="138" spans="1:5" x14ac:dyDescent="0.3">
      <c r="B138" t="s">
        <v>965</v>
      </c>
      <c r="D138" t="s">
        <v>965</v>
      </c>
      <c r="E138" t="b">
        <f t="shared" si="2"/>
        <v>1</v>
      </c>
    </row>
    <row r="139" spans="1:5" x14ac:dyDescent="0.3">
      <c r="B139" t="s">
        <v>959</v>
      </c>
      <c r="D139" t="s">
        <v>959</v>
      </c>
      <c r="E139" t="b">
        <f t="shared" si="2"/>
        <v>1</v>
      </c>
    </row>
    <row r="140" spans="1:5" x14ac:dyDescent="0.3">
      <c r="B140" t="s">
        <v>974</v>
      </c>
      <c r="D140" t="s">
        <v>974</v>
      </c>
      <c r="E140" t="b">
        <f t="shared" si="2"/>
        <v>1</v>
      </c>
    </row>
    <row r="141" spans="1:5" x14ac:dyDescent="0.3">
      <c r="B141" t="s">
        <v>954</v>
      </c>
      <c r="D141" t="s">
        <v>954</v>
      </c>
      <c r="E141" t="b">
        <f t="shared" si="2"/>
        <v>1</v>
      </c>
    </row>
    <row r="142" spans="1:5" x14ac:dyDescent="0.3">
      <c r="B142" t="s">
        <v>961</v>
      </c>
      <c r="D142" t="s">
        <v>961</v>
      </c>
      <c r="E142" t="b">
        <f t="shared" si="2"/>
        <v>1</v>
      </c>
    </row>
    <row r="143" spans="1:5" x14ac:dyDescent="0.3">
      <c r="B143" t="s">
        <v>945</v>
      </c>
      <c r="D143" t="s">
        <v>945</v>
      </c>
      <c r="E143" t="b">
        <f t="shared" si="2"/>
        <v>1</v>
      </c>
    </row>
    <row r="144" spans="1:5" x14ac:dyDescent="0.3">
      <c r="B144" t="s">
        <v>953</v>
      </c>
      <c r="D144" t="s">
        <v>953</v>
      </c>
      <c r="E144" t="b">
        <f t="shared" si="2"/>
        <v>1</v>
      </c>
    </row>
    <row r="145" spans="1:5" x14ac:dyDescent="0.3">
      <c r="B145" t="s">
        <v>988</v>
      </c>
      <c r="D145" t="s">
        <v>988</v>
      </c>
      <c r="E145" t="b">
        <f t="shared" si="2"/>
        <v>1</v>
      </c>
    </row>
    <row r="146" spans="1:5" x14ac:dyDescent="0.3">
      <c r="B146" t="s">
        <v>978</v>
      </c>
      <c r="D146" t="s">
        <v>978</v>
      </c>
      <c r="E146" t="b">
        <f t="shared" si="2"/>
        <v>1</v>
      </c>
    </row>
    <row r="147" spans="1:5" x14ac:dyDescent="0.3">
      <c r="A147" t="s">
        <v>395</v>
      </c>
      <c r="B147" t="s">
        <v>1136</v>
      </c>
      <c r="D147" t="s">
        <v>1136</v>
      </c>
      <c r="E147" t="b">
        <f t="shared" si="2"/>
        <v>1</v>
      </c>
    </row>
    <row r="148" spans="1:5" x14ac:dyDescent="0.3">
      <c r="A148" t="s">
        <v>245</v>
      </c>
      <c r="B148" t="s">
        <v>1056</v>
      </c>
      <c r="D148" t="s">
        <v>1056</v>
      </c>
      <c r="E148" t="b">
        <f t="shared" si="2"/>
        <v>1</v>
      </c>
    </row>
    <row r="149" spans="1:5" x14ac:dyDescent="0.3">
      <c r="A149" t="s">
        <v>492</v>
      </c>
      <c r="B149" t="s">
        <v>1132</v>
      </c>
      <c r="D149" t="s">
        <v>1132</v>
      </c>
      <c r="E149" t="b">
        <f t="shared" si="2"/>
        <v>1</v>
      </c>
    </row>
    <row r="150" spans="1:5" x14ac:dyDescent="0.3">
      <c r="A150" t="s">
        <v>401</v>
      </c>
      <c r="B150" t="s">
        <v>1105</v>
      </c>
      <c r="D150" t="s">
        <v>1105</v>
      </c>
      <c r="E150" t="b">
        <f t="shared" si="2"/>
        <v>1</v>
      </c>
    </row>
    <row r="151" spans="1:5" x14ac:dyDescent="0.3">
      <c r="A151" t="s">
        <v>325</v>
      </c>
      <c r="B151" t="s">
        <v>1114</v>
      </c>
      <c r="D151" t="s">
        <v>1114</v>
      </c>
      <c r="E151" t="b">
        <f t="shared" si="2"/>
        <v>1</v>
      </c>
    </row>
    <row r="152" spans="1:5" x14ac:dyDescent="0.3">
      <c r="A152" s="74" t="s">
        <v>596</v>
      </c>
      <c r="B152" s="75" t="s">
        <v>1100</v>
      </c>
      <c r="E152" t="b">
        <f t="shared" si="2"/>
        <v>0</v>
      </c>
    </row>
    <row r="153" spans="1:5" x14ac:dyDescent="0.3">
      <c r="A153" t="s">
        <v>416</v>
      </c>
      <c r="B153" t="s">
        <v>1133</v>
      </c>
      <c r="D153" t="s">
        <v>1133</v>
      </c>
      <c r="E153" t="b">
        <f t="shared" si="2"/>
        <v>1</v>
      </c>
    </row>
    <row r="154" spans="1:5" x14ac:dyDescent="0.3">
      <c r="A154" t="s">
        <v>448</v>
      </c>
      <c r="B154" t="s">
        <v>1153</v>
      </c>
      <c r="D154" t="s">
        <v>1153</v>
      </c>
      <c r="E154" t="b">
        <f t="shared" si="2"/>
        <v>1</v>
      </c>
    </row>
    <row r="155" spans="1:5" x14ac:dyDescent="0.3">
      <c r="A155" t="s">
        <v>233</v>
      </c>
      <c r="B155" t="s">
        <v>1068</v>
      </c>
      <c r="D155" t="s">
        <v>1068</v>
      </c>
      <c r="E155" t="b">
        <f t="shared" si="2"/>
        <v>1</v>
      </c>
    </row>
    <row r="156" spans="1:5" x14ac:dyDescent="0.3">
      <c r="B156" t="s">
        <v>1062</v>
      </c>
      <c r="D156" t="s">
        <v>1062</v>
      </c>
      <c r="E156" t="b">
        <f t="shared" si="2"/>
        <v>1</v>
      </c>
    </row>
    <row r="157" spans="1:5" x14ac:dyDescent="0.3">
      <c r="B157" t="s">
        <v>1063</v>
      </c>
      <c r="D157" t="s">
        <v>1063</v>
      </c>
      <c r="E157" t="b">
        <f t="shared" si="2"/>
        <v>1</v>
      </c>
    </row>
    <row r="158" spans="1:5" x14ac:dyDescent="0.3">
      <c r="B158" t="s">
        <v>1050</v>
      </c>
      <c r="D158" t="s">
        <v>1050</v>
      </c>
      <c r="E158" t="b">
        <f t="shared" si="2"/>
        <v>1</v>
      </c>
    </row>
    <row r="159" spans="1:5" x14ac:dyDescent="0.3">
      <c r="B159" t="s">
        <v>1058</v>
      </c>
      <c r="D159" t="s">
        <v>1058</v>
      </c>
      <c r="E159" t="b">
        <f t="shared" si="2"/>
        <v>1</v>
      </c>
    </row>
    <row r="160" spans="1:5" x14ac:dyDescent="0.3">
      <c r="B160" t="s">
        <v>1070</v>
      </c>
      <c r="D160" t="s">
        <v>1070</v>
      </c>
      <c r="E160" t="b">
        <f t="shared" si="2"/>
        <v>1</v>
      </c>
    </row>
    <row r="161" spans="1:5" x14ac:dyDescent="0.3">
      <c r="B161" t="s">
        <v>1059</v>
      </c>
      <c r="D161" t="s">
        <v>1059</v>
      </c>
      <c r="E161" t="b">
        <f t="shared" si="2"/>
        <v>1</v>
      </c>
    </row>
    <row r="162" spans="1:5" x14ac:dyDescent="0.3">
      <c r="B162" t="s">
        <v>1067</v>
      </c>
      <c r="D162" t="s">
        <v>1067</v>
      </c>
      <c r="E162" t="b">
        <f t="shared" si="2"/>
        <v>1</v>
      </c>
    </row>
    <row r="163" spans="1:5" x14ac:dyDescent="0.3">
      <c r="B163" t="s">
        <v>1073</v>
      </c>
      <c r="D163" t="s">
        <v>1073</v>
      </c>
      <c r="E163" t="b">
        <f t="shared" si="2"/>
        <v>1</v>
      </c>
    </row>
    <row r="164" spans="1:5" x14ac:dyDescent="0.3">
      <c r="B164" t="s">
        <v>1075</v>
      </c>
      <c r="D164" t="s">
        <v>1075</v>
      </c>
      <c r="E164" t="b">
        <f t="shared" si="2"/>
        <v>1</v>
      </c>
    </row>
    <row r="165" spans="1:5" x14ac:dyDescent="0.3">
      <c r="A165" t="s">
        <v>229</v>
      </c>
      <c r="B165" t="s">
        <v>1042</v>
      </c>
      <c r="D165" t="s">
        <v>1042</v>
      </c>
      <c r="E165" t="b">
        <f t="shared" si="2"/>
        <v>1</v>
      </c>
    </row>
    <row r="166" spans="1:5" x14ac:dyDescent="0.3">
      <c r="A166" t="s">
        <v>248</v>
      </c>
      <c r="B166" t="s">
        <v>1071</v>
      </c>
      <c r="D166" t="s">
        <v>1071</v>
      </c>
      <c r="E166" t="b">
        <f t="shared" si="2"/>
        <v>1</v>
      </c>
    </row>
    <row r="167" spans="1:5" x14ac:dyDescent="0.3">
      <c r="A167" t="s">
        <v>522</v>
      </c>
      <c r="B167" t="s">
        <v>1204</v>
      </c>
      <c r="D167" t="s">
        <v>1204</v>
      </c>
      <c r="E167" t="b">
        <f t="shared" si="2"/>
        <v>1</v>
      </c>
    </row>
    <row r="168" spans="1:5" x14ac:dyDescent="0.3">
      <c r="A168" t="s">
        <v>10</v>
      </c>
      <c r="B168" t="s">
        <v>942</v>
      </c>
      <c r="D168" t="s">
        <v>942</v>
      </c>
      <c r="E168" t="b">
        <f t="shared" si="2"/>
        <v>1</v>
      </c>
    </row>
    <row r="169" spans="1:5" x14ac:dyDescent="0.3">
      <c r="B169" t="s">
        <v>943</v>
      </c>
      <c r="D169" t="s">
        <v>943</v>
      </c>
      <c r="E169" t="b">
        <f t="shared" si="2"/>
        <v>1</v>
      </c>
    </row>
    <row r="170" spans="1:5" x14ac:dyDescent="0.3">
      <c r="A170" t="s">
        <v>290</v>
      </c>
      <c r="B170" t="s">
        <v>1094</v>
      </c>
      <c r="D170" t="s">
        <v>1094</v>
      </c>
      <c r="E170" t="b">
        <f t="shared" si="2"/>
        <v>1</v>
      </c>
    </row>
    <row r="171" spans="1:5" x14ac:dyDescent="0.3">
      <c r="A171" t="s">
        <v>423</v>
      </c>
      <c r="B171" t="s">
        <v>1143</v>
      </c>
      <c r="D171" t="s">
        <v>1143</v>
      </c>
      <c r="E171" t="b">
        <f t="shared" si="2"/>
        <v>1</v>
      </c>
    </row>
    <row r="172" spans="1:5" x14ac:dyDescent="0.3">
      <c r="A172" t="s">
        <v>357</v>
      </c>
      <c r="B172" t="s">
        <v>1115</v>
      </c>
      <c r="D172" t="s">
        <v>1115</v>
      </c>
      <c r="E172" t="b">
        <f t="shared" si="2"/>
        <v>1</v>
      </c>
    </row>
    <row r="173" spans="1:5" x14ac:dyDescent="0.3">
      <c r="B173" t="s">
        <v>1116</v>
      </c>
      <c r="D173" t="s">
        <v>1116</v>
      </c>
      <c r="E173" t="b">
        <f t="shared" si="2"/>
        <v>1</v>
      </c>
    </row>
    <row r="174" spans="1:5" x14ac:dyDescent="0.3">
      <c r="A174" t="s">
        <v>379</v>
      </c>
      <c r="B174" t="s">
        <v>983</v>
      </c>
      <c r="D174" t="s">
        <v>983</v>
      </c>
      <c r="E174" t="b">
        <f t="shared" si="2"/>
        <v>1</v>
      </c>
    </row>
    <row r="175" spans="1:5" x14ac:dyDescent="0.3">
      <c r="A175" t="s">
        <v>457</v>
      </c>
      <c r="B175" t="s">
        <v>1161</v>
      </c>
      <c r="D175" t="s">
        <v>1161</v>
      </c>
      <c r="E175" t="b">
        <f t="shared" si="2"/>
        <v>1</v>
      </c>
    </row>
    <row r="176" spans="1:5" x14ac:dyDescent="0.3">
      <c r="B176" t="s">
        <v>1163</v>
      </c>
      <c r="D176" t="s">
        <v>1163</v>
      </c>
      <c r="E176" t="b">
        <f t="shared" si="2"/>
        <v>1</v>
      </c>
    </row>
    <row r="177" spans="1:5" x14ac:dyDescent="0.3">
      <c r="B177" t="s">
        <v>1159</v>
      </c>
      <c r="D177" t="s">
        <v>1159</v>
      </c>
      <c r="E177" t="b">
        <f t="shared" si="2"/>
        <v>1</v>
      </c>
    </row>
    <row r="178" spans="1:5" x14ac:dyDescent="0.3">
      <c r="B178" t="s">
        <v>1162</v>
      </c>
      <c r="D178" t="s">
        <v>1162</v>
      </c>
      <c r="E178" t="b">
        <f t="shared" si="2"/>
        <v>1</v>
      </c>
    </row>
    <row r="179" spans="1:5" x14ac:dyDescent="0.3">
      <c r="B179" t="s">
        <v>1158</v>
      </c>
      <c r="D179" t="s">
        <v>1158</v>
      </c>
      <c r="E179" t="b">
        <f t="shared" si="2"/>
        <v>1</v>
      </c>
    </row>
    <row r="180" spans="1:5" x14ac:dyDescent="0.3">
      <c r="B180" t="s">
        <v>1160</v>
      </c>
      <c r="D180" t="s">
        <v>1160</v>
      </c>
      <c r="E180" t="b">
        <f t="shared" si="2"/>
        <v>1</v>
      </c>
    </row>
    <row r="181" spans="1:5" x14ac:dyDescent="0.3">
      <c r="A181" t="s">
        <v>383</v>
      </c>
      <c r="B181" t="s">
        <v>979</v>
      </c>
      <c r="D181" t="s">
        <v>979</v>
      </c>
      <c r="E181" t="b">
        <f t="shared" si="2"/>
        <v>1</v>
      </c>
    </row>
    <row r="182" spans="1:5" x14ac:dyDescent="0.3">
      <c r="B182" t="s">
        <v>1293</v>
      </c>
      <c r="D182" t="s">
        <v>1293</v>
      </c>
      <c r="E182" t="b">
        <f t="shared" si="2"/>
        <v>1</v>
      </c>
    </row>
    <row r="183" spans="1:5" x14ac:dyDescent="0.3">
      <c r="B183" t="s">
        <v>1289</v>
      </c>
      <c r="D183" t="s">
        <v>1289</v>
      </c>
      <c r="E183" t="b">
        <f t="shared" si="2"/>
        <v>1</v>
      </c>
    </row>
    <row r="184" spans="1:5" x14ac:dyDescent="0.3">
      <c r="B184" t="s">
        <v>1295</v>
      </c>
      <c r="D184" t="s">
        <v>1295</v>
      </c>
      <c r="E184" t="b">
        <f t="shared" si="2"/>
        <v>1</v>
      </c>
    </row>
    <row r="185" spans="1:5" x14ac:dyDescent="0.3">
      <c r="B185" t="s">
        <v>1252</v>
      </c>
      <c r="D185" t="s">
        <v>1252</v>
      </c>
      <c r="E185" t="b">
        <f t="shared" si="2"/>
        <v>1</v>
      </c>
    </row>
    <row r="186" spans="1:5" x14ac:dyDescent="0.3">
      <c r="B186" t="s">
        <v>1286</v>
      </c>
      <c r="D186" t="s">
        <v>1286</v>
      </c>
      <c r="E186" t="b">
        <f t="shared" si="2"/>
        <v>1</v>
      </c>
    </row>
    <row r="187" spans="1:5" x14ac:dyDescent="0.3">
      <c r="B187" t="s">
        <v>1275</v>
      </c>
      <c r="D187" t="s">
        <v>1275</v>
      </c>
      <c r="E187" t="b">
        <f t="shared" si="2"/>
        <v>1</v>
      </c>
    </row>
    <row r="188" spans="1:5" x14ac:dyDescent="0.3">
      <c r="B188" t="s">
        <v>1236</v>
      </c>
      <c r="D188" t="s">
        <v>1236</v>
      </c>
      <c r="E188" t="b">
        <f t="shared" si="2"/>
        <v>1</v>
      </c>
    </row>
    <row r="189" spans="1:5" x14ac:dyDescent="0.3">
      <c r="B189" t="s">
        <v>1259</v>
      </c>
      <c r="D189" t="s">
        <v>1259</v>
      </c>
      <c r="E189" t="b">
        <f t="shared" ref="E189:E252" si="3">D189=B189</f>
        <v>1</v>
      </c>
    </row>
    <row r="190" spans="1:5" x14ac:dyDescent="0.3">
      <c r="B190" t="s">
        <v>1243</v>
      </c>
      <c r="D190" t="s">
        <v>1243</v>
      </c>
      <c r="E190" t="b">
        <f t="shared" si="3"/>
        <v>1</v>
      </c>
    </row>
    <row r="191" spans="1:5" x14ac:dyDescent="0.3">
      <c r="B191" t="s">
        <v>1292</v>
      </c>
      <c r="D191" t="s">
        <v>1292</v>
      </c>
      <c r="E191" t="b">
        <f t="shared" si="3"/>
        <v>1</v>
      </c>
    </row>
    <row r="192" spans="1:5" x14ac:dyDescent="0.3">
      <c r="B192" t="s">
        <v>1281</v>
      </c>
      <c r="D192" t="s">
        <v>1281</v>
      </c>
      <c r="E192" t="b">
        <f t="shared" si="3"/>
        <v>1</v>
      </c>
    </row>
    <row r="193" spans="1:5" x14ac:dyDescent="0.3">
      <c r="B193" t="s">
        <v>1265</v>
      </c>
      <c r="D193" t="s">
        <v>1265</v>
      </c>
      <c r="E193" t="b">
        <f t="shared" si="3"/>
        <v>1</v>
      </c>
    </row>
    <row r="194" spans="1:5" x14ac:dyDescent="0.3">
      <c r="B194" t="s">
        <v>1280</v>
      </c>
      <c r="D194" t="s">
        <v>1280</v>
      </c>
      <c r="E194" t="b">
        <f t="shared" si="3"/>
        <v>1</v>
      </c>
    </row>
    <row r="195" spans="1:5" x14ac:dyDescent="0.3">
      <c r="B195" t="s">
        <v>1294</v>
      </c>
      <c r="D195" t="s">
        <v>1294</v>
      </c>
      <c r="E195" t="b">
        <f t="shared" si="3"/>
        <v>1</v>
      </c>
    </row>
    <row r="196" spans="1:5" x14ac:dyDescent="0.3">
      <c r="B196" t="s">
        <v>1273</v>
      </c>
      <c r="D196" t="s">
        <v>1273</v>
      </c>
      <c r="E196" t="b">
        <f t="shared" si="3"/>
        <v>1</v>
      </c>
    </row>
    <row r="197" spans="1:5" x14ac:dyDescent="0.3">
      <c r="B197" t="s">
        <v>1288</v>
      </c>
      <c r="D197" t="s">
        <v>1288</v>
      </c>
      <c r="E197" t="b">
        <f t="shared" si="3"/>
        <v>1</v>
      </c>
    </row>
    <row r="198" spans="1:5" x14ac:dyDescent="0.3">
      <c r="B198" t="s">
        <v>1290</v>
      </c>
      <c r="D198" t="s">
        <v>1290</v>
      </c>
      <c r="E198" t="b">
        <f t="shared" si="3"/>
        <v>1</v>
      </c>
    </row>
    <row r="199" spans="1:5" x14ac:dyDescent="0.3">
      <c r="B199" t="s">
        <v>1282</v>
      </c>
      <c r="D199" t="s">
        <v>1282</v>
      </c>
      <c r="E199" t="b">
        <f t="shared" si="3"/>
        <v>1</v>
      </c>
    </row>
    <row r="200" spans="1:5" x14ac:dyDescent="0.3">
      <c r="B200" t="s">
        <v>1266</v>
      </c>
      <c r="D200" t="s">
        <v>1266</v>
      </c>
      <c r="E200" t="b">
        <f t="shared" si="3"/>
        <v>1</v>
      </c>
    </row>
    <row r="201" spans="1:5" x14ac:dyDescent="0.3">
      <c r="B201" t="s">
        <v>1285</v>
      </c>
      <c r="D201" t="s">
        <v>1285</v>
      </c>
      <c r="E201" t="b">
        <f t="shared" si="3"/>
        <v>1</v>
      </c>
    </row>
    <row r="202" spans="1:5" x14ac:dyDescent="0.3">
      <c r="B202" t="s">
        <v>1283</v>
      </c>
      <c r="D202" t="s">
        <v>1283</v>
      </c>
      <c r="E202" t="b">
        <f t="shared" si="3"/>
        <v>1</v>
      </c>
    </row>
    <row r="203" spans="1:5" x14ac:dyDescent="0.3">
      <c r="B203" t="s">
        <v>1284</v>
      </c>
      <c r="D203" t="s">
        <v>1284</v>
      </c>
      <c r="E203" t="b">
        <f t="shared" si="3"/>
        <v>1</v>
      </c>
    </row>
    <row r="204" spans="1:5" x14ac:dyDescent="0.3">
      <c r="B204" t="s">
        <v>1287</v>
      </c>
      <c r="D204" t="s">
        <v>1287</v>
      </c>
      <c r="E204" t="b">
        <f t="shared" si="3"/>
        <v>1</v>
      </c>
    </row>
    <row r="205" spans="1:5" x14ac:dyDescent="0.3">
      <c r="B205" t="s">
        <v>1291</v>
      </c>
      <c r="D205" t="s">
        <v>1291</v>
      </c>
      <c r="E205" t="b">
        <f t="shared" si="3"/>
        <v>1</v>
      </c>
    </row>
    <row r="206" spans="1:5" x14ac:dyDescent="0.3">
      <c r="A206" t="s">
        <v>381</v>
      </c>
      <c r="B206" t="s">
        <v>980</v>
      </c>
      <c r="D206" t="s">
        <v>980</v>
      </c>
      <c r="E206" t="b">
        <f t="shared" si="3"/>
        <v>1</v>
      </c>
    </row>
    <row r="207" spans="1:5" x14ac:dyDescent="0.3">
      <c r="B207" t="s">
        <v>1121</v>
      </c>
      <c r="D207" t="s">
        <v>1121</v>
      </c>
      <c r="E207" t="b">
        <f t="shared" si="3"/>
        <v>1</v>
      </c>
    </row>
    <row r="208" spans="1:5" x14ac:dyDescent="0.3">
      <c r="B208" t="s">
        <v>1257</v>
      </c>
      <c r="D208" t="s">
        <v>1257</v>
      </c>
      <c r="E208" t="b">
        <f t="shared" si="3"/>
        <v>1</v>
      </c>
    </row>
    <row r="209" spans="1:5" x14ac:dyDescent="0.3">
      <c r="A209" t="s">
        <v>427</v>
      </c>
      <c r="B209" t="s">
        <v>1148</v>
      </c>
      <c r="D209" t="s">
        <v>1148</v>
      </c>
      <c r="E209" t="b">
        <f t="shared" si="3"/>
        <v>1</v>
      </c>
    </row>
    <row r="210" spans="1:5" x14ac:dyDescent="0.3">
      <c r="B210" t="s">
        <v>1149</v>
      </c>
      <c r="D210" t="s">
        <v>1149</v>
      </c>
      <c r="E210" t="b">
        <f t="shared" si="3"/>
        <v>1</v>
      </c>
    </row>
    <row r="211" spans="1:5" x14ac:dyDescent="0.3">
      <c r="B211" t="s">
        <v>1156</v>
      </c>
      <c r="D211" t="s">
        <v>1156</v>
      </c>
      <c r="E211" t="b">
        <f t="shared" si="3"/>
        <v>1</v>
      </c>
    </row>
    <row r="212" spans="1:5" x14ac:dyDescent="0.3">
      <c r="B212" t="s">
        <v>1150</v>
      </c>
      <c r="D212" t="s">
        <v>1150</v>
      </c>
      <c r="E212" t="b">
        <f t="shared" si="3"/>
        <v>1</v>
      </c>
    </row>
    <row r="213" spans="1:5" x14ac:dyDescent="0.3">
      <c r="B213" t="s">
        <v>1151</v>
      </c>
      <c r="D213" t="s">
        <v>1151</v>
      </c>
      <c r="E213" t="b">
        <f t="shared" si="3"/>
        <v>1</v>
      </c>
    </row>
    <row r="214" spans="1:5" x14ac:dyDescent="0.3">
      <c r="B214" t="s">
        <v>1157</v>
      </c>
      <c r="D214" t="s">
        <v>1157</v>
      </c>
      <c r="E214" t="b">
        <f t="shared" si="3"/>
        <v>1</v>
      </c>
    </row>
    <row r="215" spans="1:5" x14ac:dyDescent="0.3">
      <c r="B215" t="s">
        <v>1154</v>
      </c>
      <c r="D215" t="s">
        <v>1154</v>
      </c>
      <c r="E215" t="b">
        <f t="shared" si="3"/>
        <v>1</v>
      </c>
    </row>
    <row r="216" spans="1:5" x14ac:dyDescent="0.3">
      <c r="B216" t="s">
        <v>1152</v>
      </c>
      <c r="D216" t="s">
        <v>1152</v>
      </c>
      <c r="E216" t="b">
        <f t="shared" si="3"/>
        <v>1</v>
      </c>
    </row>
    <row r="217" spans="1:5" x14ac:dyDescent="0.3">
      <c r="B217" t="s">
        <v>1155</v>
      </c>
      <c r="D217" t="s">
        <v>1155</v>
      </c>
      <c r="E217" t="b">
        <f t="shared" si="3"/>
        <v>1</v>
      </c>
    </row>
    <row r="218" spans="1:5" x14ac:dyDescent="0.3">
      <c r="A218" t="s">
        <v>91</v>
      </c>
      <c r="B218" t="s">
        <v>1007</v>
      </c>
      <c r="D218" t="s">
        <v>1007</v>
      </c>
      <c r="E218" t="b">
        <f t="shared" si="3"/>
        <v>1</v>
      </c>
    </row>
    <row r="219" spans="1:5" x14ac:dyDescent="0.3">
      <c r="B219" t="s">
        <v>1009</v>
      </c>
      <c r="D219" t="s">
        <v>1009</v>
      </c>
      <c r="E219" t="b">
        <f t="shared" si="3"/>
        <v>1</v>
      </c>
    </row>
    <row r="220" spans="1:5" x14ac:dyDescent="0.3">
      <c r="B220" t="s">
        <v>1008</v>
      </c>
      <c r="D220" t="s">
        <v>1008</v>
      </c>
      <c r="E220" t="b">
        <f t="shared" si="3"/>
        <v>1</v>
      </c>
    </row>
    <row r="221" spans="1:5" x14ac:dyDescent="0.3">
      <c r="B221" t="s">
        <v>1012</v>
      </c>
      <c r="D221" t="s">
        <v>1012</v>
      </c>
      <c r="E221" t="b">
        <f t="shared" si="3"/>
        <v>1</v>
      </c>
    </row>
    <row r="222" spans="1:5" x14ac:dyDescent="0.3">
      <c r="B222" t="s">
        <v>1004</v>
      </c>
      <c r="D222" t="s">
        <v>1004</v>
      </c>
      <c r="E222" t="b">
        <f t="shared" si="3"/>
        <v>1</v>
      </c>
    </row>
    <row r="223" spans="1:5" x14ac:dyDescent="0.3">
      <c r="B223" t="s">
        <v>1005</v>
      </c>
      <c r="D223" t="s">
        <v>1005</v>
      </c>
      <c r="E223" t="b">
        <f t="shared" si="3"/>
        <v>1</v>
      </c>
    </row>
    <row r="224" spans="1:5" x14ac:dyDescent="0.3">
      <c r="B224" t="s">
        <v>1010</v>
      </c>
      <c r="D224" t="s">
        <v>1010</v>
      </c>
      <c r="E224" t="b">
        <f t="shared" si="3"/>
        <v>1</v>
      </c>
    </row>
    <row r="225" spans="1:5" x14ac:dyDescent="0.3">
      <c r="B225" t="s">
        <v>1006</v>
      </c>
      <c r="D225" t="s">
        <v>1006</v>
      </c>
      <c r="E225" t="b">
        <f t="shared" si="3"/>
        <v>1</v>
      </c>
    </row>
    <row r="226" spans="1:5" x14ac:dyDescent="0.3">
      <c r="B226" t="s">
        <v>1011</v>
      </c>
      <c r="D226" t="s">
        <v>1011</v>
      </c>
      <c r="E226" t="b">
        <f t="shared" si="3"/>
        <v>1</v>
      </c>
    </row>
    <row r="227" spans="1:5" x14ac:dyDescent="0.3">
      <c r="A227" t="s">
        <v>516</v>
      </c>
      <c r="B227" t="s">
        <v>1190</v>
      </c>
      <c r="D227" t="s">
        <v>1190</v>
      </c>
      <c r="E227" t="b">
        <f t="shared" si="3"/>
        <v>1</v>
      </c>
    </row>
    <row r="228" spans="1:5" x14ac:dyDescent="0.3">
      <c r="B228" t="s">
        <v>1184</v>
      </c>
      <c r="D228" t="s">
        <v>1184</v>
      </c>
      <c r="E228" t="b">
        <f t="shared" si="3"/>
        <v>1</v>
      </c>
    </row>
    <row r="229" spans="1:5" x14ac:dyDescent="0.3">
      <c r="B229" t="s">
        <v>1196</v>
      </c>
      <c r="D229" t="s">
        <v>1196</v>
      </c>
      <c r="E229" t="b">
        <f t="shared" si="3"/>
        <v>1</v>
      </c>
    </row>
    <row r="230" spans="1:5" x14ac:dyDescent="0.3">
      <c r="A230" t="s">
        <v>112</v>
      </c>
      <c r="B230" t="s">
        <v>1019</v>
      </c>
      <c r="D230" t="s">
        <v>1019</v>
      </c>
      <c r="E230" t="b">
        <f t="shared" si="3"/>
        <v>1</v>
      </c>
    </row>
    <row r="231" spans="1:5" x14ac:dyDescent="0.3">
      <c r="B231" t="s">
        <v>1020</v>
      </c>
      <c r="D231" t="s">
        <v>1020</v>
      </c>
      <c r="E231" t="b">
        <f t="shared" si="3"/>
        <v>1</v>
      </c>
    </row>
    <row r="232" spans="1:5" x14ac:dyDescent="0.3">
      <c r="B232" t="s">
        <v>1017</v>
      </c>
      <c r="D232" t="s">
        <v>1017</v>
      </c>
      <c r="E232" t="b">
        <f t="shared" si="3"/>
        <v>1</v>
      </c>
    </row>
    <row r="233" spans="1:5" x14ac:dyDescent="0.3">
      <c r="B233" t="s">
        <v>1021</v>
      </c>
      <c r="D233" t="s">
        <v>1021</v>
      </c>
      <c r="E233" t="b">
        <f t="shared" si="3"/>
        <v>1</v>
      </c>
    </row>
    <row r="234" spans="1:5" x14ac:dyDescent="0.3">
      <c r="B234" t="s">
        <v>1022</v>
      </c>
      <c r="D234" t="s">
        <v>1022</v>
      </c>
      <c r="E234" t="b">
        <f t="shared" si="3"/>
        <v>1</v>
      </c>
    </row>
    <row r="235" spans="1:5" x14ac:dyDescent="0.3">
      <c r="B235" t="s">
        <v>1018</v>
      </c>
      <c r="D235" t="s">
        <v>1018</v>
      </c>
      <c r="E235" t="b">
        <f t="shared" si="3"/>
        <v>1</v>
      </c>
    </row>
    <row r="236" spans="1:5" x14ac:dyDescent="0.3">
      <c r="A236" t="s">
        <v>509</v>
      </c>
      <c r="B236" t="s">
        <v>1189</v>
      </c>
      <c r="D236" t="s">
        <v>1189</v>
      </c>
      <c r="E236" t="b">
        <f t="shared" si="3"/>
        <v>1</v>
      </c>
    </row>
    <row r="237" spans="1:5" x14ac:dyDescent="0.3">
      <c r="A237" t="s">
        <v>304</v>
      </c>
      <c r="B237" t="s">
        <v>1092</v>
      </c>
      <c r="D237" t="s">
        <v>1092</v>
      </c>
      <c r="E237" t="b">
        <f t="shared" si="3"/>
        <v>1</v>
      </c>
    </row>
    <row r="238" spans="1:5" x14ac:dyDescent="0.3">
      <c r="B238" t="s">
        <v>1187</v>
      </c>
      <c r="D238" t="s">
        <v>1187</v>
      </c>
      <c r="E238" t="b">
        <f t="shared" si="3"/>
        <v>1</v>
      </c>
    </row>
    <row r="239" spans="1:5" x14ac:dyDescent="0.3">
      <c r="B239" t="s">
        <v>1186</v>
      </c>
      <c r="D239" t="s">
        <v>1186</v>
      </c>
      <c r="E239" t="b">
        <f t="shared" si="3"/>
        <v>1</v>
      </c>
    </row>
    <row r="240" spans="1:5" x14ac:dyDescent="0.3">
      <c r="B240" t="s">
        <v>1185</v>
      </c>
      <c r="D240" t="s">
        <v>1185</v>
      </c>
      <c r="E240" t="b">
        <f t="shared" si="3"/>
        <v>1</v>
      </c>
    </row>
    <row r="241" spans="1:5" x14ac:dyDescent="0.3">
      <c r="A241" t="s">
        <v>318</v>
      </c>
      <c r="B241" t="s">
        <v>1086</v>
      </c>
      <c r="D241" t="s">
        <v>1086</v>
      </c>
      <c r="E241" t="b">
        <f t="shared" si="3"/>
        <v>1</v>
      </c>
    </row>
    <row r="242" spans="1:5" x14ac:dyDescent="0.3">
      <c r="A242" t="s">
        <v>140</v>
      </c>
      <c r="B242" t="s">
        <v>1076</v>
      </c>
      <c r="D242" t="s">
        <v>1076</v>
      </c>
      <c r="E242" t="b">
        <f t="shared" si="3"/>
        <v>1</v>
      </c>
    </row>
    <row r="243" spans="1:5" x14ac:dyDescent="0.3">
      <c r="B243" t="s">
        <v>1033</v>
      </c>
      <c r="D243" t="s">
        <v>1033</v>
      </c>
      <c r="E243" t="b">
        <f t="shared" si="3"/>
        <v>1</v>
      </c>
    </row>
    <row r="244" spans="1:5" x14ac:dyDescent="0.3">
      <c r="B244" t="s">
        <v>1040</v>
      </c>
      <c r="D244" t="s">
        <v>1040</v>
      </c>
      <c r="E244" t="b">
        <f t="shared" si="3"/>
        <v>1</v>
      </c>
    </row>
    <row r="245" spans="1:5" x14ac:dyDescent="0.3">
      <c r="B245" t="s">
        <v>1049</v>
      </c>
      <c r="D245" t="s">
        <v>1049</v>
      </c>
      <c r="E245" t="b">
        <f t="shared" si="3"/>
        <v>1</v>
      </c>
    </row>
    <row r="246" spans="1:5" x14ac:dyDescent="0.3">
      <c r="B246" t="s">
        <v>1026</v>
      </c>
      <c r="D246" t="s">
        <v>1026</v>
      </c>
      <c r="E246" t="b">
        <f t="shared" si="3"/>
        <v>1</v>
      </c>
    </row>
    <row r="247" spans="1:5" x14ac:dyDescent="0.3">
      <c r="B247" t="s">
        <v>1041</v>
      </c>
      <c r="D247" t="s">
        <v>1041</v>
      </c>
      <c r="E247" t="b">
        <f t="shared" si="3"/>
        <v>1</v>
      </c>
    </row>
    <row r="248" spans="1:5" x14ac:dyDescent="0.3">
      <c r="B248" t="s">
        <v>1031</v>
      </c>
      <c r="D248" t="s">
        <v>1031</v>
      </c>
      <c r="E248" t="b">
        <f t="shared" si="3"/>
        <v>1</v>
      </c>
    </row>
    <row r="249" spans="1:5" x14ac:dyDescent="0.3">
      <c r="B249" t="s">
        <v>1027</v>
      </c>
      <c r="D249" t="s">
        <v>1027</v>
      </c>
      <c r="E249" t="b">
        <f t="shared" si="3"/>
        <v>1</v>
      </c>
    </row>
    <row r="250" spans="1:5" x14ac:dyDescent="0.3">
      <c r="B250" t="s">
        <v>1035</v>
      </c>
      <c r="D250" t="s">
        <v>1035</v>
      </c>
      <c r="E250" t="b">
        <f t="shared" si="3"/>
        <v>1</v>
      </c>
    </row>
    <row r="251" spans="1:5" x14ac:dyDescent="0.3">
      <c r="B251" t="s">
        <v>1028</v>
      </c>
      <c r="D251" t="s">
        <v>1028</v>
      </c>
      <c r="E251" t="b">
        <f t="shared" si="3"/>
        <v>1</v>
      </c>
    </row>
    <row r="252" spans="1:5" x14ac:dyDescent="0.3">
      <c r="B252" t="s">
        <v>1025</v>
      </c>
      <c r="D252" t="s">
        <v>1025</v>
      </c>
      <c r="E252" t="b">
        <f t="shared" si="3"/>
        <v>1</v>
      </c>
    </row>
    <row r="253" spans="1:5" x14ac:dyDescent="0.3">
      <c r="B253" t="s">
        <v>985</v>
      </c>
      <c r="D253" t="s">
        <v>985</v>
      </c>
      <c r="E253" t="b">
        <f t="shared" ref="E253:E291" si="4">D253=B253</f>
        <v>1</v>
      </c>
    </row>
    <row r="254" spans="1:5" x14ac:dyDescent="0.3">
      <c r="B254" t="s">
        <v>1036</v>
      </c>
      <c r="D254" t="s">
        <v>1036</v>
      </c>
      <c r="E254" t="b">
        <f t="shared" si="4"/>
        <v>1</v>
      </c>
    </row>
    <row r="255" spans="1:5" x14ac:dyDescent="0.3">
      <c r="B255" t="s">
        <v>989</v>
      </c>
      <c r="D255" t="s">
        <v>989</v>
      </c>
      <c r="E255" t="b">
        <f t="shared" si="4"/>
        <v>1</v>
      </c>
    </row>
    <row r="256" spans="1:5" x14ac:dyDescent="0.3">
      <c r="A256" t="s">
        <v>276</v>
      </c>
      <c r="B256" t="s">
        <v>1084</v>
      </c>
      <c r="D256" t="s">
        <v>1084</v>
      </c>
      <c r="E256" t="b">
        <f t="shared" si="4"/>
        <v>1</v>
      </c>
    </row>
    <row r="257" spans="2:5" x14ac:dyDescent="0.3">
      <c r="B257" t="s">
        <v>1093</v>
      </c>
      <c r="D257" t="s">
        <v>1093</v>
      </c>
      <c r="E257" t="b">
        <f t="shared" si="4"/>
        <v>1</v>
      </c>
    </row>
    <row r="258" spans="2:5" x14ac:dyDescent="0.3">
      <c r="B258" t="s">
        <v>1119</v>
      </c>
      <c r="D258" t="s">
        <v>1119</v>
      </c>
      <c r="E258" t="b">
        <f t="shared" si="4"/>
        <v>1</v>
      </c>
    </row>
    <row r="259" spans="2:5" x14ac:dyDescent="0.3">
      <c r="B259" t="s">
        <v>1091</v>
      </c>
      <c r="D259" t="s">
        <v>1091</v>
      </c>
      <c r="E259" t="b">
        <f t="shared" si="4"/>
        <v>1</v>
      </c>
    </row>
    <row r="260" spans="2:5" x14ac:dyDescent="0.3">
      <c r="B260" t="s">
        <v>1108</v>
      </c>
      <c r="D260" t="s">
        <v>1108</v>
      </c>
      <c r="E260" t="b">
        <f t="shared" si="4"/>
        <v>1</v>
      </c>
    </row>
    <row r="261" spans="2:5" x14ac:dyDescent="0.3">
      <c r="B261" t="s">
        <v>1098</v>
      </c>
      <c r="D261" t="s">
        <v>1098</v>
      </c>
      <c r="E261" t="b">
        <f t="shared" si="4"/>
        <v>1</v>
      </c>
    </row>
    <row r="262" spans="2:5" x14ac:dyDescent="0.3">
      <c r="B262" t="s">
        <v>1081</v>
      </c>
      <c r="D262" t="s">
        <v>1081</v>
      </c>
      <c r="E262" t="b">
        <f t="shared" si="4"/>
        <v>1</v>
      </c>
    </row>
    <row r="263" spans="2:5" x14ac:dyDescent="0.3">
      <c r="B263" t="s">
        <v>1088</v>
      </c>
      <c r="D263" t="s">
        <v>1088</v>
      </c>
      <c r="E263" t="b">
        <f t="shared" si="4"/>
        <v>1</v>
      </c>
    </row>
    <row r="264" spans="2:5" x14ac:dyDescent="0.3">
      <c r="B264" t="s">
        <v>1103</v>
      </c>
      <c r="D264" t="s">
        <v>1103</v>
      </c>
      <c r="E264" t="b">
        <f t="shared" si="4"/>
        <v>1</v>
      </c>
    </row>
    <row r="265" spans="2:5" x14ac:dyDescent="0.3">
      <c r="B265" t="s">
        <v>1123</v>
      </c>
      <c r="D265" t="s">
        <v>1123</v>
      </c>
      <c r="E265" t="b">
        <f t="shared" si="4"/>
        <v>1</v>
      </c>
    </row>
    <row r="266" spans="2:5" x14ac:dyDescent="0.3">
      <c r="B266" t="s">
        <v>982</v>
      </c>
      <c r="D266" t="s">
        <v>982</v>
      </c>
      <c r="E266" t="b">
        <f t="shared" si="4"/>
        <v>1</v>
      </c>
    </row>
    <row r="267" spans="2:5" x14ac:dyDescent="0.3">
      <c r="B267" t="s">
        <v>1142</v>
      </c>
      <c r="D267" t="s">
        <v>1142</v>
      </c>
      <c r="E267" t="b">
        <f t="shared" si="4"/>
        <v>1</v>
      </c>
    </row>
    <row r="268" spans="2:5" x14ac:dyDescent="0.3">
      <c r="B268" t="s">
        <v>1203</v>
      </c>
      <c r="D268" t="s">
        <v>1203</v>
      </c>
      <c r="E268" t="b">
        <f t="shared" si="4"/>
        <v>1</v>
      </c>
    </row>
    <row r="269" spans="2:5" x14ac:dyDescent="0.3">
      <c r="B269" t="s">
        <v>1206</v>
      </c>
      <c r="D269" t="s">
        <v>1206</v>
      </c>
      <c r="E269" t="b">
        <f t="shared" si="4"/>
        <v>1</v>
      </c>
    </row>
    <row r="270" spans="2:5" x14ac:dyDescent="0.3">
      <c r="B270" t="s">
        <v>1122</v>
      </c>
      <c r="D270" t="s">
        <v>1122</v>
      </c>
      <c r="E270" t="b">
        <f t="shared" si="4"/>
        <v>1</v>
      </c>
    </row>
    <row r="271" spans="2:5" x14ac:dyDescent="0.3">
      <c r="B271" t="s">
        <v>1140</v>
      </c>
      <c r="D271" t="s">
        <v>1140</v>
      </c>
      <c r="E271" t="b">
        <f t="shared" si="4"/>
        <v>1</v>
      </c>
    </row>
    <row r="272" spans="2:5" x14ac:dyDescent="0.3">
      <c r="B272" t="s">
        <v>1139</v>
      </c>
      <c r="D272" t="s">
        <v>1139</v>
      </c>
      <c r="E272" t="b">
        <f t="shared" si="4"/>
        <v>1</v>
      </c>
    </row>
    <row r="273" spans="1:5" x14ac:dyDescent="0.3">
      <c r="B273" s="74" t="s">
        <v>1128</v>
      </c>
      <c r="D273" t="s">
        <v>1128</v>
      </c>
      <c r="E273" t="b">
        <f t="shared" si="4"/>
        <v>1</v>
      </c>
    </row>
    <row r="274" spans="1:5" x14ac:dyDescent="0.3">
      <c r="B274" t="s">
        <v>1109</v>
      </c>
      <c r="D274" t="s">
        <v>1109</v>
      </c>
      <c r="E274" t="b">
        <f t="shared" si="4"/>
        <v>1</v>
      </c>
    </row>
    <row r="275" spans="1:5" x14ac:dyDescent="0.3">
      <c r="B275" t="s">
        <v>990</v>
      </c>
      <c r="D275" t="s">
        <v>990</v>
      </c>
      <c r="E275" t="b">
        <f t="shared" si="4"/>
        <v>1</v>
      </c>
    </row>
    <row r="276" spans="1:5" x14ac:dyDescent="0.3">
      <c r="B276" t="s">
        <v>986</v>
      </c>
      <c r="D276" t="s">
        <v>986</v>
      </c>
      <c r="E276" t="b">
        <f t="shared" si="4"/>
        <v>1</v>
      </c>
    </row>
    <row r="277" spans="1:5" x14ac:dyDescent="0.3">
      <c r="B277" t="s">
        <v>1130</v>
      </c>
      <c r="D277" t="s">
        <v>1130</v>
      </c>
      <c r="E277" t="b">
        <f t="shared" si="4"/>
        <v>1</v>
      </c>
    </row>
    <row r="278" spans="1:5" x14ac:dyDescent="0.3">
      <c r="B278" t="s">
        <v>1124</v>
      </c>
      <c r="D278" t="s">
        <v>1124</v>
      </c>
      <c r="E278" t="b">
        <f t="shared" si="4"/>
        <v>1</v>
      </c>
    </row>
    <row r="279" spans="1:5" x14ac:dyDescent="0.3">
      <c r="B279" t="s">
        <v>1120</v>
      </c>
      <c r="D279" t="s">
        <v>1120</v>
      </c>
      <c r="E279" t="b">
        <f t="shared" si="4"/>
        <v>1</v>
      </c>
    </row>
    <row r="280" spans="1:5" x14ac:dyDescent="0.3">
      <c r="B280" t="s">
        <v>1089</v>
      </c>
      <c r="D280" t="s">
        <v>1089</v>
      </c>
      <c r="E280" t="b">
        <f t="shared" si="4"/>
        <v>1</v>
      </c>
    </row>
    <row r="281" spans="1:5" x14ac:dyDescent="0.3">
      <c r="A281" t="s">
        <v>45</v>
      </c>
      <c r="B281" t="s">
        <v>1195</v>
      </c>
      <c r="D281" t="s">
        <v>1195</v>
      </c>
      <c r="E281" t="b">
        <f t="shared" si="4"/>
        <v>1</v>
      </c>
    </row>
    <row r="282" spans="1:5" x14ac:dyDescent="0.3">
      <c r="B282" t="s">
        <v>949</v>
      </c>
      <c r="D282" t="s">
        <v>949</v>
      </c>
      <c r="E282" t="b">
        <f t="shared" si="4"/>
        <v>1</v>
      </c>
    </row>
    <row r="283" spans="1:5" x14ac:dyDescent="0.3">
      <c r="B283" t="s">
        <v>947</v>
      </c>
      <c r="D283" t="s">
        <v>947</v>
      </c>
      <c r="E283" t="b">
        <f t="shared" si="4"/>
        <v>1</v>
      </c>
    </row>
    <row r="284" spans="1:5" x14ac:dyDescent="0.3">
      <c r="B284" t="s">
        <v>966</v>
      </c>
      <c r="D284" t="s">
        <v>966</v>
      </c>
      <c r="E284" t="b">
        <f t="shared" si="4"/>
        <v>1</v>
      </c>
    </row>
    <row r="285" spans="1:5" x14ac:dyDescent="0.3">
      <c r="B285" t="s">
        <v>946</v>
      </c>
      <c r="D285" t="s">
        <v>946</v>
      </c>
      <c r="E285" t="b">
        <f t="shared" si="4"/>
        <v>1</v>
      </c>
    </row>
    <row r="286" spans="1:5" x14ac:dyDescent="0.3">
      <c r="B286" t="s">
        <v>951</v>
      </c>
      <c r="D286" t="s">
        <v>951</v>
      </c>
      <c r="E286" t="b">
        <f t="shared" si="4"/>
        <v>1</v>
      </c>
    </row>
    <row r="287" spans="1:5" x14ac:dyDescent="0.3">
      <c r="B287" t="s">
        <v>956</v>
      </c>
      <c r="D287" t="s">
        <v>956</v>
      </c>
      <c r="E287" t="b">
        <f t="shared" si="4"/>
        <v>1</v>
      </c>
    </row>
    <row r="288" spans="1:5" x14ac:dyDescent="0.3">
      <c r="B288" t="s">
        <v>967</v>
      </c>
      <c r="D288" t="s">
        <v>967</v>
      </c>
      <c r="E288" t="b">
        <f t="shared" si="4"/>
        <v>1</v>
      </c>
    </row>
    <row r="289" spans="1:5" x14ac:dyDescent="0.3">
      <c r="B289" t="s">
        <v>971</v>
      </c>
      <c r="D289" t="s">
        <v>971</v>
      </c>
      <c r="E289" t="b">
        <f t="shared" si="4"/>
        <v>1</v>
      </c>
    </row>
    <row r="290" spans="1:5" x14ac:dyDescent="0.3">
      <c r="B290" t="s">
        <v>972</v>
      </c>
      <c r="D290" t="s">
        <v>972</v>
      </c>
      <c r="E290" t="b">
        <f t="shared" si="4"/>
        <v>1</v>
      </c>
    </row>
    <row r="291" spans="1:5" x14ac:dyDescent="0.3">
      <c r="B291" t="s">
        <v>973</v>
      </c>
      <c r="D291" t="s">
        <v>973</v>
      </c>
      <c r="E291" t="b">
        <f t="shared" si="4"/>
        <v>1</v>
      </c>
    </row>
    <row r="292" spans="1:5" x14ac:dyDescent="0.3">
      <c r="B292" s="74" t="s">
        <v>963</v>
      </c>
    </row>
    <row r="293" spans="1:5" x14ac:dyDescent="0.3">
      <c r="B293" s="74" t="s">
        <v>948</v>
      </c>
    </row>
    <row r="294" spans="1:5" x14ac:dyDescent="0.3">
      <c r="A294" t="s">
        <v>269</v>
      </c>
      <c r="B294" t="s">
        <v>1080</v>
      </c>
      <c r="D294" t="s">
        <v>1085</v>
      </c>
    </row>
    <row r="295" spans="1:5" x14ac:dyDescent="0.3">
      <c r="B295" t="s">
        <v>1085</v>
      </c>
      <c r="D295" t="s">
        <v>1080</v>
      </c>
    </row>
  </sheetData>
  <sortState ref="G256:G280">
    <sortCondition ref="G259"/>
  </sortState>
  <phoneticPr fontId="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G354"/>
  <sheetViews>
    <sheetView workbookViewId="0">
      <selection activeCell="D222" sqref="D222"/>
    </sheetView>
  </sheetViews>
  <sheetFormatPr defaultRowHeight="13.5" x14ac:dyDescent="0.3"/>
  <cols>
    <col min="1" max="1" width="11.1328125" style="28" customWidth="1"/>
    <col min="2" max="2" width="29.1328125" style="28" customWidth="1"/>
    <col min="3" max="3" width="22.46484375" style="29" customWidth="1"/>
    <col min="4" max="4" width="28.1328125" style="29" customWidth="1"/>
    <col min="5" max="5" width="22.46484375" style="60" customWidth="1"/>
    <col min="6" max="6" width="22.1328125" style="30" customWidth="1"/>
    <col min="7" max="16384" width="9.06640625" style="5"/>
  </cols>
  <sheetData>
    <row r="1" spans="1:7" ht="22.5" x14ac:dyDescent="0.3">
      <c r="A1" s="1" t="s">
        <v>0</v>
      </c>
      <c r="B1" s="1" t="s">
        <v>1</v>
      </c>
      <c r="C1" s="2" t="s">
        <v>2</v>
      </c>
      <c r="D1" s="3" t="s">
        <v>3</v>
      </c>
      <c r="E1" s="48" t="s">
        <v>4</v>
      </c>
      <c r="F1" s="4" t="s">
        <v>5</v>
      </c>
      <c r="G1" s="5" t="s">
        <v>1310</v>
      </c>
    </row>
    <row r="2" spans="1:7" hidden="1" x14ac:dyDescent="0.3">
      <c r="A2" s="6" t="s">
        <v>6</v>
      </c>
      <c r="B2" s="6" t="s">
        <v>7</v>
      </c>
      <c r="C2" s="7" t="s">
        <v>8</v>
      </c>
      <c r="D2" s="7" t="s">
        <v>9</v>
      </c>
      <c r="E2" s="49" t="s">
        <v>10</v>
      </c>
      <c r="F2" s="9" t="s">
        <v>11</v>
      </c>
      <c r="G2" s="5" t="str">
        <f>VLOOKUP(D2,Sheet3!A:C,3,0)</f>
        <v>SA01</v>
      </c>
    </row>
    <row r="3" spans="1:7" hidden="1" x14ac:dyDescent="0.3">
      <c r="A3" s="6" t="s">
        <v>6</v>
      </c>
      <c r="B3" s="6" t="s">
        <v>7</v>
      </c>
      <c r="C3" s="7" t="s">
        <v>8</v>
      </c>
      <c r="D3" s="7" t="s">
        <v>12</v>
      </c>
      <c r="E3" s="49" t="s">
        <v>10</v>
      </c>
      <c r="F3" s="9" t="s">
        <v>11</v>
      </c>
      <c r="G3" s="5" t="str">
        <f>VLOOKUP(D3,Sheet3!A:C,3,0)</f>
        <v>SA02</v>
      </c>
    </row>
    <row r="4" spans="1:7" hidden="1" x14ac:dyDescent="0.3">
      <c r="A4" s="6" t="s">
        <v>13</v>
      </c>
      <c r="B4" s="6" t="s">
        <v>14</v>
      </c>
      <c r="C4" s="7" t="s">
        <v>15</v>
      </c>
      <c r="D4" s="7" t="s">
        <v>16</v>
      </c>
      <c r="E4" s="49" t="s">
        <v>17</v>
      </c>
      <c r="F4" s="9" t="s">
        <v>18</v>
      </c>
      <c r="G4" s="5" t="str">
        <f>VLOOKUP(D4,Sheet3!A:C,3,0)</f>
        <v>SA03</v>
      </c>
    </row>
    <row r="5" spans="1:7" hidden="1" x14ac:dyDescent="0.3">
      <c r="A5" s="6" t="s">
        <v>13</v>
      </c>
      <c r="B5" s="6" t="s">
        <v>14</v>
      </c>
      <c r="C5" s="7" t="s">
        <v>15</v>
      </c>
      <c r="D5" s="7" t="s">
        <v>19</v>
      </c>
      <c r="E5" s="49" t="s">
        <v>17</v>
      </c>
      <c r="F5" s="9" t="s">
        <v>18</v>
      </c>
      <c r="G5" s="5" t="str">
        <f>VLOOKUP(D5,Sheet3!A:C,3,0)</f>
        <v>SA04</v>
      </c>
    </row>
    <row r="6" spans="1:7" hidden="1" x14ac:dyDescent="0.3">
      <c r="A6" s="6" t="s">
        <v>13</v>
      </c>
      <c r="B6" s="6" t="s">
        <v>14</v>
      </c>
      <c r="C6" s="7" t="s">
        <v>15</v>
      </c>
      <c r="D6" s="7" t="s">
        <v>19</v>
      </c>
      <c r="E6" s="49" t="s">
        <v>17</v>
      </c>
      <c r="F6" s="9" t="s">
        <v>18</v>
      </c>
      <c r="G6" s="5" t="str">
        <f>VLOOKUP(D6,Sheet3!A:C,3,0)</f>
        <v>SA04</v>
      </c>
    </row>
    <row r="7" spans="1:7" hidden="1" x14ac:dyDescent="0.3">
      <c r="A7" s="6" t="s">
        <v>13</v>
      </c>
      <c r="B7" s="6" t="s">
        <v>14</v>
      </c>
      <c r="C7" s="7" t="s">
        <v>15</v>
      </c>
      <c r="D7" s="7" t="s">
        <v>19</v>
      </c>
      <c r="E7" s="49" t="s">
        <v>17</v>
      </c>
      <c r="F7" s="9" t="s">
        <v>18</v>
      </c>
      <c r="G7" s="5" t="str">
        <f>VLOOKUP(D7,Sheet3!A:C,3,0)</f>
        <v>SA04</v>
      </c>
    </row>
    <row r="8" spans="1:7" hidden="1" x14ac:dyDescent="0.3">
      <c r="A8" s="6" t="s">
        <v>13</v>
      </c>
      <c r="B8" s="6" t="s">
        <v>14</v>
      </c>
      <c r="C8" s="7" t="s">
        <v>15</v>
      </c>
      <c r="D8" s="7" t="s">
        <v>20</v>
      </c>
      <c r="E8" s="49" t="s">
        <v>17</v>
      </c>
      <c r="F8" s="9" t="s">
        <v>18</v>
      </c>
      <c r="G8" s="5" t="str">
        <f>VLOOKUP(D8,Sheet3!A:C,3,0)</f>
        <v>SA05</v>
      </c>
    </row>
    <row r="9" spans="1:7" hidden="1" x14ac:dyDescent="0.3">
      <c r="A9" s="6" t="s">
        <v>13</v>
      </c>
      <c r="B9" s="6" t="s">
        <v>14</v>
      </c>
      <c r="C9" s="7" t="s">
        <v>21</v>
      </c>
      <c r="D9" s="7" t="s">
        <v>22</v>
      </c>
      <c r="E9" s="49" t="s">
        <v>17</v>
      </c>
      <c r="F9" s="9" t="s">
        <v>18</v>
      </c>
      <c r="G9" s="5" t="str">
        <f>VLOOKUP(D9,Sheet3!A:C,3,0)</f>
        <v>ZY58</v>
      </c>
    </row>
    <row r="10" spans="1:7" hidden="1" x14ac:dyDescent="0.3">
      <c r="A10" s="6" t="s">
        <v>13</v>
      </c>
      <c r="B10" s="6" t="s">
        <v>14</v>
      </c>
      <c r="C10" s="7" t="s">
        <v>15</v>
      </c>
      <c r="D10" s="7" t="s">
        <v>23</v>
      </c>
      <c r="E10" s="49" t="s">
        <v>17</v>
      </c>
      <c r="F10" s="9" t="s">
        <v>18</v>
      </c>
      <c r="G10" s="5" t="str">
        <f>VLOOKUP(D10,Sheet3!A:C,3,0)</f>
        <v>SA06</v>
      </c>
    </row>
    <row r="11" spans="1:7" hidden="1" x14ac:dyDescent="0.3">
      <c r="A11" s="6" t="s">
        <v>13</v>
      </c>
      <c r="B11" s="6" t="s">
        <v>14</v>
      </c>
      <c r="C11" s="7" t="s">
        <v>15</v>
      </c>
      <c r="D11" s="7" t="s">
        <v>24</v>
      </c>
      <c r="E11" s="49" t="s">
        <v>17</v>
      </c>
      <c r="F11" s="9" t="s">
        <v>18</v>
      </c>
      <c r="G11" s="5" t="str">
        <f>VLOOKUP(D11,Sheet3!A:C,3,0)</f>
        <v>SA07</v>
      </c>
    </row>
    <row r="12" spans="1:7" hidden="1" x14ac:dyDescent="0.3">
      <c r="A12" s="6" t="s">
        <v>13</v>
      </c>
      <c r="B12" s="6" t="s">
        <v>14</v>
      </c>
      <c r="C12" s="7" t="s">
        <v>15</v>
      </c>
      <c r="D12" s="7" t="s">
        <v>25</v>
      </c>
      <c r="E12" s="49" t="s">
        <v>17</v>
      </c>
      <c r="F12" s="9" t="s">
        <v>18</v>
      </c>
      <c r="G12" s="5" t="str">
        <f>VLOOKUP(D12,Sheet3!A:C,3,0)</f>
        <v>SA08</v>
      </c>
    </row>
    <row r="13" spans="1:7" hidden="1" x14ac:dyDescent="0.3">
      <c r="A13" s="6" t="s">
        <v>13</v>
      </c>
      <c r="B13" s="6" t="s">
        <v>14</v>
      </c>
      <c r="C13" s="7" t="s">
        <v>15</v>
      </c>
      <c r="D13" s="7" t="s">
        <v>26</v>
      </c>
      <c r="E13" s="49" t="s">
        <v>17</v>
      </c>
      <c r="F13" s="9" t="s">
        <v>18</v>
      </c>
      <c r="G13" s="5" t="str">
        <f>VLOOKUP(D13,Sheet3!A:C,3,0)</f>
        <v>ZY106</v>
      </c>
    </row>
    <row r="14" spans="1:7" hidden="1" x14ac:dyDescent="0.3">
      <c r="A14" s="6" t="s">
        <v>13</v>
      </c>
      <c r="B14" s="6" t="s">
        <v>14</v>
      </c>
      <c r="C14" s="7" t="s">
        <v>27</v>
      </c>
      <c r="D14" s="7" t="s">
        <v>28</v>
      </c>
      <c r="E14" s="49" t="s">
        <v>17</v>
      </c>
      <c r="F14" s="9" t="s">
        <v>18</v>
      </c>
      <c r="G14" s="5" t="str">
        <f>VLOOKUP(D14,Sheet3!A:C,3,0)</f>
        <v>ZY107</v>
      </c>
    </row>
    <row r="15" spans="1:7" hidden="1" x14ac:dyDescent="0.3">
      <c r="A15" s="6" t="s">
        <v>13</v>
      </c>
      <c r="B15" s="6" t="s">
        <v>14</v>
      </c>
      <c r="C15" s="7" t="s">
        <v>15</v>
      </c>
      <c r="D15" s="7" t="s">
        <v>29</v>
      </c>
      <c r="E15" s="49" t="s">
        <v>17</v>
      </c>
      <c r="F15" s="9" t="s">
        <v>18</v>
      </c>
      <c r="G15" s="5" t="str">
        <f>VLOOKUP(D15,Sheet3!A:C,3,0)</f>
        <v>SA09</v>
      </c>
    </row>
    <row r="16" spans="1:7" hidden="1" x14ac:dyDescent="0.3">
      <c r="A16" s="6" t="s">
        <v>13</v>
      </c>
      <c r="B16" s="6" t="s">
        <v>14</v>
      </c>
      <c r="C16" s="7" t="s">
        <v>15</v>
      </c>
      <c r="D16" s="7" t="s">
        <v>30</v>
      </c>
      <c r="E16" s="49" t="s">
        <v>17</v>
      </c>
      <c r="F16" s="9" t="s">
        <v>18</v>
      </c>
      <c r="G16" s="5" t="str">
        <f>VLOOKUP(D16,Sheet3!A:C,3,0)</f>
        <v>SA10</v>
      </c>
    </row>
    <row r="17" spans="1:7" hidden="1" x14ac:dyDescent="0.3">
      <c r="A17" s="6" t="s">
        <v>13</v>
      </c>
      <c r="B17" s="6" t="s">
        <v>14</v>
      </c>
      <c r="C17" s="7" t="s">
        <v>15</v>
      </c>
      <c r="D17" s="7" t="s">
        <v>31</v>
      </c>
      <c r="E17" s="49" t="s">
        <v>17</v>
      </c>
      <c r="F17" s="9" t="s">
        <v>18</v>
      </c>
      <c r="G17" s="5" t="str">
        <f>VLOOKUP(D17,Sheet3!A:C,3,0)</f>
        <v>SA11</v>
      </c>
    </row>
    <row r="18" spans="1:7" hidden="1" x14ac:dyDescent="0.3">
      <c r="A18" s="6" t="s">
        <v>13</v>
      </c>
      <c r="B18" s="6" t="s">
        <v>14</v>
      </c>
      <c r="C18" s="7" t="s">
        <v>15</v>
      </c>
      <c r="D18" s="7" t="s">
        <v>32</v>
      </c>
      <c r="E18" s="49" t="s">
        <v>17</v>
      </c>
      <c r="F18" s="9" t="s">
        <v>18</v>
      </c>
      <c r="G18" s="5" t="str">
        <f>VLOOKUP(D18,Sheet3!A:C,3,0)</f>
        <v>SA12</v>
      </c>
    </row>
    <row r="19" spans="1:7" hidden="1" x14ac:dyDescent="0.3">
      <c r="A19" s="6" t="s">
        <v>33</v>
      </c>
      <c r="B19" s="6" t="s">
        <v>34</v>
      </c>
      <c r="C19" s="7" t="s">
        <v>15</v>
      </c>
      <c r="D19" s="7" t="s">
        <v>35</v>
      </c>
      <c r="E19" s="49" t="s">
        <v>36</v>
      </c>
      <c r="F19" s="9" t="s">
        <v>18</v>
      </c>
      <c r="G19" s="5" t="str">
        <f>VLOOKUP(D19,Sheet3!A:C,3,0)</f>
        <v>ZY103</v>
      </c>
    </row>
    <row r="20" spans="1:7" hidden="1" x14ac:dyDescent="0.3">
      <c r="A20" s="6" t="s">
        <v>33</v>
      </c>
      <c r="B20" s="6" t="s">
        <v>34</v>
      </c>
      <c r="C20" s="7" t="s">
        <v>21</v>
      </c>
      <c r="D20" s="7" t="s">
        <v>37</v>
      </c>
      <c r="E20" s="49" t="s">
        <v>36</v>
      </c>
      <c r="F20" s="9" t="s">
        <v>18</v>
      </c>
      <c r="G20" s="5" t="str">
        <f>VLOOKUP(D20,Sheet3!A:C,3,0)</f>
        <v>ZY59</v>
      </c>
    </row>
    <row r="21" spans="1:7" hidden="1" x14ac:dyDescent="0.3">
      <c r="A21" s="6" t="s">
        <v>33</v>
      </c>
      <c r="B21" s="6" t="s">
        <v>34</v>
      </c>
      <c r="C21" s="7" t="s">
        <v>15</v>
      </c>
      <c r="D21" s="7" t="s">
        <v>38</v>
      </c>
      <c r="E21" s="49" t="s">
        <v>36</v>
      </c>
      <c r="F21" s="9" t="s">
        <v>18</v>
      </c>
      <c r="G21" s="5" t="str">
        <f>VLOOKUP(D21,Sheet3!A:C,3,0)</f>
        <v>SA13</v>
      </c>
    </row>
    <row r="22" spans="1:7" hidden="1" x14ac:dyDescent="0.3">
      <c r="A22" s="6" t="s">
        <v>33</v>
      </c>
      <c r="B22" s="6" t="s">
        <v>34</v>
      </c>
      <c r="C22" s="7" t="s">
        <v>15</v>
      </c>
      <c r="D22" s="7" t="s">
        <v>38</v>
      </c>
      <c r="E22" s="49" t="s">
        <v>36</v>
      </c>
      <c r="F22" s="9" t="s">
        <v>18</v>
      </c>
      <c r="G22" s="5" t="str">
        <f>VLOOKUP(D22,Sheet3!A:C,3,0)</f>
        <v>SA13</v>
      </c>
    </row>
    <row r="23" spans="1:7" hidden="1" x14ac:dyDescent="0.3">
      <c r="A23" s="6" t="s">
        <v>33</v>
      </c>
      <c r="B23" s="6" t="s">
        <v>34</v>
      </c>
      <c r="C23" s="7" t="s">
        <v>15</v>
      </c>
      <c r="D23" s="7" t="s">
        <v>38</v>
      </c>
      <c r="E23" s="49" t="s">
        <v>36</v>
      </c>
      <c r="F23" s="9" t="s">
        <v>18</v>
      </c>
      <c r="G23" s="5" t="str">
        <f>VLOOKUP(D23,Sheet3!A:C,3,0)</f>
        <v>SA13</v>
      </c>
    </row>
    <row r="24" spans="1:7" hidden="1" x14ac:dyDescent="0.3">
      <c r="A24" s="6" t="s">
        <v>33</v>
      </c>
      <c r="B24" s="6" t="s">
        <v>34</v>
      </c>
      <c r="C24" s="7" t="s">
        <v>27</v>
      </c>
      <c r="D24" s="7" t="s">
        <v>39</v>
      </c>
      <c r="E24" s="49" t="s">
        <v>36</v>
      </c>
      <c r="F24" s="9" t="s">
        <v>18</v>
      </c>
      <c r="G24" s="5" t="str">
        <f>VLOOKUP(D24,Sheet3!A:C,3,0)</f>
        <v>ZY104</v>
      </c>
    </row>
    <row r="25" spans="1:7" hidden="1" x14ac:dyDescent="0.3">
      <c r="A25" s="6" t="s">
        <v>33</v>
      </c>
      <c r="B25" s="6" t="s">
        <v>34</v>
      </c>
      <c r="C25" s="7" t="s">
        <v>15</v>
      </c>
      <c r="D25" s="7" t="s">
        <v>40</v>
      </c>
      <c r="E25" s="49" t="s">
        <v>36</v>
      </c>
      <c r="F25" s="9" t="s">
        <v>18</v>
      </c>
      <c r="G25" s="5" t="str">
        <f>VLOOKUP(D25,Sheet3!A:C,3,0)</f>
        <v>SA14</v>
      </c>
    </row>
    <row r="26" spans="1:7" hidden="1" x14ac:dyDescent="0.3">
      <c r="A26" s="6" t="s">
        <v>33</v>
      </c>
      <c r="B26" s="6" t="s">
        <v>34</v>
      </c>
      <c r="C26" s="7" t="s">
        <v>15</v>
      </c>
      <c r="D26" s="7" t="s">
        <v>41</v>
      </c>
      <c r="E26" s="49" t="s">
        <v>36</v>
      </c>
      <c r="F26" s="9" t="s">
        <v>18</v>
      </c>
      <c r="G26" s="5" t="str">
        <f>VLOOKUP(D26,Sheet3!A:C,3,0)</f>
        <v>SA15</v>
      </c>
    </row>
    <row r="27" spans="1:7" hidden="1" x14ac:dyDescent="0.3">
      <c r="A27" s="6" t="s">
        <v>33</v>
      </c>
      <c r="B27" s="6" t="s">
        <v>34</v>
      </c>
      <c r="C27" s="7" t="s">
        <v>15</v>
      </c>
      <c r="D27" s="10" t="s">
        <v>42</v>
      </c>
      <c r="E27" s="49" t="s">
        <v>36</v>
      </c>
      <c r="F27" s="9" t="s">
        <v>18</v>
      </c>
      <c r="G27" s="5" t="str">
        <f>VLOOKUP(D27,Sheet3!A:C,3,0)</f>
        <v>ZY105</v>
      </c>
    </row>
    <row r="28" spans="1:7" hidden="1" x14ac:dyDescent="0.3">
      <c r="A28" s="6" t="s">
        <v>33</v>
      </c>
      <c r="B28" s="6" t="s">
        <v>34</v>
      </c>
      <c r="C28" s="7" t="s">
        <v>15</v>
      </c>
      <c r="D28" s="7" t="s">
        <v>43</v>
      </c>
      <c r="E28" s="49" t="s">
        <v>36</v>
      </c>
      <c r="F28" s="9" t="s">
        <v>18</v>
      </c>
      <c r="G28" s="5" t="str">
        <f>VLOOKUP(D28,Sheet3!A:C,3,0)</f>
        <v>SA16</v>
      </c>
    </row>
    <row r="29" spans="1:7" hidden="1" x14ac:dyDescent="0.3">
      <c r="A29" s="6" t="s">
        <v>33</v>
      </c>
      <c r="B29" s="6" t="s">
        <v>34</v>
      </c>
      <c r="C29" s="7" t="s">
        <v>15</v>
      </c>
      <c r="D29" s="70" t="s">
        <v>44</v>
      </c>
      <c r="E29" s="49" t="s">
        <v>45</v>
      </c>
      <c r="F29" s="9" t="s">
        <v>18</v>
      </c>
      <c r="G29" s="5" t="str">
        <f>VLOOKUP(D29,Sheet3!A:C,3,0)</f>
        <v>SA17</v>
      </c>
    </row>
    <row r="30" spans="1:7" hidden="1" x14ac:dyDescent="0.3">
      <c r="A30" s="6" t="s">
        <v>33</v>
      </c>
      <c r="B30" s="6" t="s">
        <v>34</v>
      </c>
      <c r="C30" s="7" t="s">
        <v>15</v>
      </c>
      <c r="D30" s="70" t="s">
        <v>46</v>
      </c>
      <c r="E30" s="49" t="s">
        <v>45</v>
      </c>
      <c r="F30" s="9" t="s">
        <v>18</v>
      </c>
      <c r="G30" s="5" t="str">
        <f>VLOOKUP(D30,Sheet3!A:C,3,0)</f>
        <v>SA18</v>
      </c>
    </row>
    <row r="31" spans="1:7" hidden="1" x14ac:dyDescent="0.3">
      <c r="A31" s="6" t="s">
        <v>33</v>
      </c>
      <c r="B31" s="6" t="s">
        <v>34</v>
      </c>
      <c r="C31" s="7" t="s">
        <v>15</v>
      </c>
      <c r="D31" s="70" t="s">
        <v>47</v>
      </c>
      <c r="E31" s="49" t="s">
        <v>36</v>
      </c>
      <c r="F31" s="9" t="s">
        <v>18</v>
      </c>
      <c r="G31" s="5" t="str">
        <f>VLOOKUP(D31,Sheet3!A:C,3,0)</f>
        <v>SA19</v>
      </c>
    </row>
    <row r="32" spans="1:7" hidden="1" x14ac:dyDescent="0.3">
      <c r="A32" s="6" t="s">
        <v>33</v>
      </c>
      <c r="B32" s="6" t="s">
        <v>34</v>
      </c>
      <c r="C32" s="7" t="s">
        <v>15</v>
      </c>
      <c r="D32" s="7" t="s">
        <v>48</v>
      </c>
      <c r="E32" s="49" t="s">
        <v>36</v>
      </c>
      <c r="F32" s="9" t="s">
        <v>18</v>
      </c>
      <c r="G32" s="5" t="str">
        <f>VLOOKUP(D32,Sheet3!A:C,3,0)</f>
        <v>ZY175</v>
      </c>
    </row>
    <row r="33" spans="1:7" hidden="1" x14ac:dyDescent="0.3">
      <c r="A33" s="6" t="s">
        <v>33</v>
      </c>
      <c r="B33" s="6" t="s">
        <v>34</v>
      </c>
      <c r="C33" s="7" t="s">
        <v>15</v>
      </c>
      <c r="D33" s="7" t="s">
        <v>49</v>
      </c>
      <c r="E33" s="49" t="s">
        <v>36</v>
      </c>
      <c r="F33" s="9" t="s">
        <v>18</v>
      </c>
      <c r="G33" s="5" t="str">
        <f>VLOOKUP(D33,Sheet3!A:C,3,0)</f>
        <v>SA20</v>
      </c>
    </row>
    <row r="34" spans="1:7" hidden="1" x14ac:dyDescent="0.3">
      <c r="A34" s="6" t="s">
        <v>50</v>
      </c>
      <c r="B34" s="6" t="s">
        <v>51</v>
      </c>
      <c r="C34" s="7" t="s">
        <v>15</v>
      </c>
      <c r="D34" s="7" t="s">
        <v>52</v>
      </c>
      <c r="E34" s="49" t="s">
        <v>45</v>
      </c>
      <c r="F34" s="9" t="s">
        <v>18</v>
      </c>
      <c r="G34" s="5" t="str">
        <f>VLOOKUP(D34,Sheet3!A:C,3,0)</f>
        <v>SA21</v>
      </c>
    </row>
    <row r="35" spans="1:7" hidden="1" x14ac:dyDescent="0.3">
      <c r="A35" s="6" t="s">
        <v>50</v>
      </c>
      <c r="B35" s="6" t="s">
        <v>51</v>
      </c>
      <c r="C35" s="7" t="s">
        <v>15</v>
      </c>
      <c r="D35" s="7" t="s">
        <v>53</v>
      </c>
      <c r="E35" s="49" t="s">
        <v>45</v>
      </c>
      <c r="F35" s="9" t="s">
        <v>18</v>
      </c>
      <c r="G35" s="5" t="str">
        <f>VLOOKUP(D35,Sheet3!A:C,3,0)</f>
        <v>SA22</v>
      </c>
    </row>
    <row r="36" spans="1:7" hidden="1" x14ac:dyDescent="0.3">
      <c r="A36" s="6" t="s">
        <v>50</v>
      </c>
      <c r="B36" s="6" t="s">
        <v>51</v>
      </c>
      <c r="C36" s="7" t="s">
        <v>15</v>
      </c>
      <c r="D36" s="7" t="s">
        <v>54</v>
      </c>
      <c r="E36" s="49" t="s">
        <v>45</v>
      </c>
      <c r="F36" s="9" t="s">
        <v>18</v>
      </c>
      <c r="G36" s="5" t="str">
        <f>VLOOKUP(D36,Sheet3!A:C,3,0)</f>
        <v>SA23</v>
      </c>
    </row>
    <row r="37" spans="1:7" hidden="1" x14ac:dyDescent="0.3">
      <c r="A37" s="6" t="s">
        <v>50</v>
      </c>
      <c r="B37" s="6" t="s">
        <v>51</v>
      </c>
      <c r="C37" s="7" t="s">
        <v>15</v>
      </c>
      <c r="D37" s="7" t="s">
        <v>55</v>
      </c>
      <c r="E37" s="49" t="s">
        <v>45</v>
      </c>
      <c r="F37" s="9" t="s">
        <v>18</v>
      </c>
      <c r="G37" s="5" t="str">
        <f>VLOOKUP(D37,Sheet3!A:C,3,0)</f>
        <v>SA24</v>
      </c>
    </row>
    <row r="38" spans="1:7" hidden="1" x14ac:dyDescent="0.3">
      <c r="A38" s="6" t="s">
        <v>50</v>
      </c>
      <c r="B38" s="6" t="s">
        <v>51</v>
      </c>
      <c r="C38" s="7" t="s">
        <v>15</v>
      </c>
      <c r="D38" s="10" t="s">
        <v>56</v>
      </c>
      <c r="E38" s="49" t="s">
        <v>45</v>
      </c>
      <c r="F38" s="9" t="s">
        <v>18</v>
      </c>
      <c r="G38" s="5" t="str">
        <f>VLOOKUP(D38,Sheet3!A:C,3,0)</f>
        <v>ZY176</v>
      </c>
    </row>
    <row r="39" spans="1:7" hidden="1" x14ac:dyDescent="0.3">
      <c r="A39" s="6" t="s">
        <v>50</v>
      </c>
      <c r="B39" s="6" t="s">
        <v>51</v>
      </c>
      <c r="C39" s="7" t="s">
        <v>15</v>
      </c>
      <c r="D39" s="7" t="s">
        <v>57</v>
      </c>
      <c r="E39" s="49" t="s">
        <v>45</v>
      </c>
      <c r="F39" s="9" t="s">
        <v>18</v>
      </c>
      <c r="G39" s="5" t="str">
        <f>VLOOKUP(D39,Sheet3!A:C,3,0)</f>
        <v>SA26</v>
      </c>
    </row>
    <row r="40" spans="1:7" hidden="1" x14ac:dyDescent="0.3">
      <c r="A40" s="6" t="s">
        <v>50</v>
      </c>
      <c r="B40" s="6" t="s">
        <v>51</v>
      </c>
      <c r="C40" s="7" t="s">
        <v>15</v>
      </c>
      <c r="D40" s="7" t="s">
        <v>58</v>
      </c>
      <c r="E40" s="49" t="s">
        <v>45</v>
      </c>
      <c r="F40" s="9" t="s">
        <v>18</v>
      </c>
      <c r="G40" s="5" t="str">
        <f>VLOOKUP(D40,Sheet3!A:C,3,0)</f>
        <v>SA27</v>
      </c>
    </row>
    <row r="41" spans="1:7" hidden="1" x14ac:dyDescent="0.3">
      <c r="A41" s="6" t="s">
        <v>50</v>
      </c>
      <c r="B41" s="6" t="s">
        <v>51</v>
      </c>
      <c r="C41" s="7" t="s">
        <v>15</v>
      </c>
      <c r="D41" s="7" t="s">
        <v>59</v>
      </c>
      <c r="E41" s="49" t="s">
        <v>45</v>
      </c>
      <c r="F41" s="9" t="s">
        <v>18</v>
      </c>
      <c r="G41" s="5" t="str">
        <f>VLOOKUP(D41,Sheet3!A:C,3,0)</f>
        <v>SA28</v>
      </c>
    </row>
    <row r="42" spans="1:7" hidden="1" x14ac:dyDescent="0.3">
      <c r="A42" s="6" t="s">
        <v>50</v>
      </c>
      <c r="B42" s="6" t="s">
        <v>51</v>
      </c>
      <c r="C42" s="7" t="s">
        <v>15</v>
      </c>
      <c r="D42" s="7" t="s">
        <v>60</v>
      </c>
      <c r="E42" s="49" t="s">
        <v>45</v>
      </c>
      <c r="F42" s="9" t="s">
        <v>18</v>
      </c>
      <c r="G42" s="5" t="str">
        <f>VLOOKUP(D42,Sheet3!A:C,3,0)</f>
        <v>SA29</v>
      </c>
    </row>
    <row r="43" spans="1:7" hidden="1" x14ac:dyDescent="0.3">
      <c r="A43" s="6" t="s">
        <v>50</v>
      </c>
      <c r="B43" s="6" t="s">
        <v>51</v>
      </c>
      <c r="C43" s="7" t="s">
        <v>15</v>
      </c>
      <c r="D43" s="7" t="s">
        <v>61</v>
      </c>
      <c r="E43" s="49" t="s">
        <v>45</v>
      </c>
      <c r="F43" s="9" t="s">
        <v>18</v>
      </c>
      <c r="G43" s="5" t="str">
        <f>VLOOKUP(D43,Sheet3!A:C,3,0)</f>
        <v>SA163</v>
      </c>
    </row>
    <row r="44" spans="1:7" hidden="1" x14ac:dyDescent="0.3">
      <c r="A44" s="6" t="s">
        <v>50</v>
      </c>
      <c r="B44" s="11" t="s">
        <v>51</v>
      </c>
      <c r="C44" s="7" t="s">
        <v>62</v>
      </c>
      <c r="D44" s="7" t="s">
        <v>63</v>
      </c>
      <c r="E44" s="49" t="s">
        <v>64</v>
      </c>
      <c r="F44" s="9" t="s">
        <v>11</v>
      </c>
      <c r="G44" s="5" t="str">
        <f>VLOOKUP(D44,Sheet3!A:C,3,0)</f>
        <v>SA30</v>
      </c>
    </row>
    <row r="45" spans="1:7" hidden="1" x14ac:dyDescent="0.3">
      <c r="A45" s="6" t="s">
        <v>50</v>
      </c>
      <c r="B45" s="11" t="s">
        <v>51</v>
      </c>
      <c r="C45" s="7" t="s">
        <v>62</v>
      </c>
      <c r="D45" s="7" t="s">
        <v>65</v>
      </c>
      <c r="E45" s="49" t="s">
        <v>64</v>
      </c>
      <c r="F45" s="9" t="s">
        <v>11</v>
      </c>
      <c r="G45" s="5" t="str">
        <f>VLOOKUP(D45,Sheet3!A:C,3,0)</f>
        <v>SA31</v>
      </c>
    </row>
    <row r="46" spans="1:7" hidden="1" x14ac:dyDescent="0.3">
      <c r="A46" s="11" t="s">
        <v>50</v>
      </c>
      <c r="B46" s="11" t="s">
        <v>51</v>
      </c>
      <c r="C46" s="10" t="s">
        <v>15</v>
      </c>
      <c r="D46" s="10" t="s">
        <v>66</v>
      </c>
      <c r="E46" s="49" t="s">
        <v>67</v>
      </c>
      <c r="F46" s="9" t="s">
        <v>68</v>
      </c>
      <c r="G46" s="5" t="str">
        <f>VLOOKUP(D46,Sheet3!A:C,3,0)</f>
        <v>ZY61</v>
      </c>
    </row>
    <row r="47" spans="1:7" hidden="1" x14ac:dyDescent="0.3">
      <c r="A47" s="6" t="s">
        <v>50</v>
      </c>
      <c r="B47" s="11" t="s">
        <v>51</v>
      </c>
      <c r="C47" s="7" t="s">
        <v>62</v>
      </c>
      <c r="D47" s="12" t="s">
        <v>69</v>
      </c>
      <c r="E47" s="49" t="s">
        <v>64</v>
      </c>
      <c r="F47" s="9" t="s">
        <v>11</v>
      </c>
      <c r="G47" s="5" t="e">
        <f>VLOOKUP(D47,Sheet3!A:C,3,0)</f>
        <v>#N/A</v>
      </c>
    </row>
    <row r="48" spans="1:7" hidden="1" x14ac:dyDescent="0.3">
      <c r="A48" s="6" t="s">
        <v>50</v>
      </c>
      <c r="B48" s="11" t="s">
        <v>51</v>
      </c>
      <c r="C48" s="7" t="s">
        <v>62</v>
      </c>
      <c r="D48" s="12" t="s">
        <v>70</v>
      </c>
      <c r="E48" s="49" t="s">
        <v>64</v>
      </c>
      <c r="F48" s="9" t="s">
        <v>11</v>
      </c>
      <c r="G48" s="5" t="e">
        <f>VLOOKUP(D48,Sheet3!A:C,3,0)</f>
        <v>#N/A</v>
      </c>
    </row>
    <row r="49" spans="1:7" hidden="1" x14ac:dyDescent="0.3">
      <c r="A49" s="6" t="s">
        <v>611</v>
      </c>
      <c r="B49" s="6" t="s">
        <v>71</v>
      </c>
      <c r="C49" s="7" t="s">
        <v>15</v>
      </c>
      <c r="D49" s="7" t="s">
        <v>72</v>
      </c>
      <c r="E49" s="49" t="s">
        <v>45</v>
      </c>
      <c r="F49" s="9" t="s">
        <v>18</v>
      </c>
      <c r="G49" s="5" t="str">
        <f>VLOOKUP(D49,Sheet3!A:C,3,0)</f>
        <v>SA33</v>
      </c>
    </row>
    <row r="50" spans="1:7" hidden="1" x14ac:dyDescent="0.3">
      <c r="A50" s="13" t="s">
        <v>73</v>
      </c>
      <c r="B50" s="14" t="s">
        <v>74</v>
      </c>
      <c r="C50" s="15" t="s">
        <v>62</v>
      </c>
      <c r="D50" s="15" t="s">
        <v>75</v>
      </c>
      <c r="E50" s="50" t="s">
        <v>64</v>
      </c>
      <c r="F50" s="16" t="s">
        <v>11</v>
      </c>
      <c r="G50" s="5" t="str">
        <f>VLOOKUP(D50,Sheet3!A:C,3,0)</f>
        <v>SA34</v>
      </c>
    </row>
    <row r="51" spans="1:7" hidden="1" x14ac:dyDescent="0.3">
      <c r="A51" s="17" t="s">
        <v>612</v>
      </c>
      <c r="B51" s="18" t="s">
        <v>76</v>
      </c>
      <c r="C51" s="19" t="s">
        <v>62</v>
      </c>
      <c r="D51" s="19" t="s">
        <v>77</v>
      </c>
      <c r="E51" s="51" t="s">
        <v>64</v>
      </c>
      <c r="F51" s="20" t="s">
        <v>11</v>
      </c>
      <c r="G51" s="5" t="str">
        <f>VLOOKUP(D51,Sheet3!A:C,3,0)</f>
        <v>SA180</v>
      </c>
    </row>
    <row r="52" spans="1:7" hidden="1" x14ac:dyDescent="0.3">
      <c r="A52" s="17" t="s">
        <v>613</v>
      </c>
      <c r="B52" s="18" t="s">
        <v>78</v>
      </c>
      <c r="C52" s="19" t="s">
        <v>62</v>
      </c>
      <c r="D52" s="19" t="s">
        <v>79</v>
      </c>
      <c r="E52" s="51" t="s">
        <v>64</v>
      </c>
      <c r="F52" s="20" t="s">
        <v>11</v>
      </c>
      <c r="G52" s="5" t="str">
        <f>VLOOKUP(D52,Sheet3!A:C,3,0)</f>
        <v>SA181</v>
      </c>
    </row>
    <row r="53" spans="1:7" hidden="1" x14ac:dyDescent="0.3">
      <c r="A53" s="17" t="s">
        <v>614</v>
      </c>
      <c r="B53" s="18" t="s">
        <v>80</v>
      </c>
      <c r="C53" s="19" t="s">
        <v>62</v>
      </c>
      <c r="D53" s="19" t="s">
        <v>81</v>
      </c>
      <c r="E53" s="51" t="s">
        <v>64</v>
      </c>
      <c r="F53" s="20" t="s">
        <v>11</v>
      </c>
      <c r="G53" s="5" t="str">
        <f>VLOOKUP(D53,Sheet3!A:C,3,0)</f>
        <v>SA182</v>
      </c>
    </row>
    <row r="54" spans="1:7" hidden="1" x14ac:dyDescent="0.3">
      <c r="A54" s="21" t="s">
        <v>82</v>
      </c>
      <c r="B54" s="22" t="s">
        <v>83</v>
      </c>
      <c r="C54" s="23" t="s">
        <v>62</v>
      </c>
      <c r="D54" s="23" t="s">
        <v>84</v>
      </c>
      <c r="E54" s="49" t="s">
        <v>64</v>
      </c>
      <c r="F54" s="8" t="s">
        <v>11</v>
      </c>
      <c r="G54" s="5" t="str">
        <f>VLOOKUP(D54,Sheet3!A:C,3,0)</f>
        <v>SA35</v>
      </c>
    </row>
    <row r="55" spans="1:7" hidden="1" x14ac:dyDescent="0.3">
      <c r="A55" s="6" t="s">
        <v>85</v>
      </c>
      <c r="B55" s="11" t="s">
        <v>86</v>
      </c>
      <c r="C55" s="7" t="s">
        <v>62</v>
      </c>
      <c r="D55" s="7" t="s">
        <v>87</v>
      </c>
      <c r="E55" s="49" t="s">
        <v>87</v>
      </c>
      <c r="F55" s="9" t="s">
        <v>11</v>
      </c>
      <c r="G55" s="5" t="str">
        <f>VLOOKUP(D55,Sheet3!A:C,3,0)</f>
        <v>SA36</v>
      </c>
    </row>
    <row r="56" spans="1:7" hidden="1" x14ac:dyDescent="0.3">
      <c r="A56" s="6" t="s">
        <v>615</v>
      </c>
      <c r="B56" s="6" t="s">
        <v>88</v>
      </c>
      <c r="C56" s="7" t="s">
        <v>89</v>
      </c>
      <c r="D56" s="7" t="s">
        <v>90</v>
      </c>
      <c r="E56" s="49" t="s">
        <v>91</v>
      </c>
      <c r="F56" s="9" t="s">
        <v>11</v>
      </c>
      <c r="G56" s="5" t="str">
        <f>VLOOKUP(D56,Sheet3!A:C,3,0)</f>
        <v>SA37</v>
      </c>
    </row>
    <row r="57" spans="1:7" hidden="1" x14ac:dyDescent="0.3">
      <c r="A57" s="6" t="s">
        <v>615</v>
      </c>
      <c r="B57" s="6" t="s">
        <v>88</v>
      </c>
      <c r="C57" s="7" t="s">
        <v>89</v>
      </c>
      <c r="D57" s="7" t="s">
        <v>92</v>
      </c>
      <c r="E57" s="49" t="s">
        <v>91</v>
      </c>
      <c r="F57" s="9" t="s">
        <v>11</v>
      </c>
      <c r="G57" s="5" t="str">
        <f>VLOOKUP(D57,Sheet3!A:C,3,0)</f>
        <v>SA38</v>
      </c>
    </row>
    <row r="58" spans="1:7" hidden="1" x14ac:dyDescent="0.3">
      <c r="A58" s="6" t="s">
        <v>615</v>
      </c>
      <c r="B58" s="6" t="s">
        <v>88</v>
      </c>
      <c r="C58" s="7" t="s">
        <v>89</v>
      </c>
      <c r="D58" s="7" t="s">
        <v>93</v>
      </c>
      <c r="E58" s="49" t="s">
        <v>91</v>
      </c>
      <c r="F58" s="9" t="s">
        <v>11</v>
      </c>
      <c r="G58" s="5" t="str">
        <f>VLOOKUP(D58,Sheet3!A:C,3,0)</f>
        <v>SA39</v>
      </c>
    </row>
    <row r="59" spans="1:7" hidden="1" x14ac:dyDescent="0.3">
      <c r="A59" s="6" t="s">
        <v>615</v>
      </c>
      <c r="B59" s="6" t="s">
        <v>88</v>
      </c>
      <c r="C59" s="7" t="s">
        <v>94</v>
      </c>
      <c r="D59" s="7" t="s">
        <v>95</v>
      </c>
      <c r="E59" s="49" t="s">
        <v>96</v>
      </c>
      <c r="F59" s="9" t="s">
        <v>11</v>
      </c>
      <c r="G59" s="5" t="str">
        <f>VLOOKUP(D59,Sheet3!A:C,3,0)</f>
        <v>SA40</v>
      </c>
    </row>
    <row r="60" spans="1:7" hidden="1" x14ac:dyDescent="0.3">
      <c r="A60" s="6" t="s">
        <v>615</v>
      </c>
      <c r="B60" s="6" t="s">
        <v>88</v>
      </c>
      <c r="C60" s="7" t="s">
        <v>97</v>
      </c>
      <c r="D60" s="7" t="s">
        <v>98</v>
      </c>
      <c r="E60" s="49" t="s">
        <v>96</v>
      </c>
      <c r="F60" s="9" t="s">
        <v>11</v>
      </c>
      <c r="G60" s="5" t="str">
        <f>VLOOKUP(D60,Sheet3!A:C,3,0)</f>
        <v>SA41</v>
      </c>
    </row>
    <row r="61" spans="1:7" hidden="1" x14ac:dyDescent="0.3">
      <c r="A61" s="6" t="s">
        <v>616</v>
      </c>
      <c r="B61" s="6" t="s">
        <v>99</v>
      </c>
      <c r="C61" s="7" t="s">
        <v>89</v>
      </c>
      <c r="D61" s="7" t="s">
        <v>100</v>
      </c>
      <c r="E61" s="49" t="s">
        <v>91</v>
      </c>
      <c r="F61" s="9" t="s">
        <v>11</v>
      </c>
      <c r="G61" s="5" t="str">
        <f>VLOOKUP(D61,Sheet3!A:C,3,0)</f>
        <v>SA42</v>
      </c>
    </row>
    <row r="62" spans="1:7" hidden="1" x14ac:dyDescent="0.3">
      <c r="A62" s="6" t="s">
        <v>616</v>
      </c>
      <c r="B62" s="6" t="s">
        <v>99</v>
      </c>
      <c r="C62" s="7" t="s">
        <v>89</v>
      </c>
      <c r="D62" s="7" t="s">
        <v>101</v>
      </c>
      <c r="E62" s="49" t="s">
        <v>91</v>
      </c>
      <c r="F62" s="9" t="s">
        <v>11</v>
      </c>
      <c r="G62" s="5" t="str">
        <f>VLOOKUP(D62,Sheet3!A:C,3,0)</f>
        <v>SA43</v>
      </c>
    </row>
    <row r="63" spans="1:7" hidden="1" x14ac:dyDescent="0.3">
      <c r="A63" s="6" t="s">
        <v>617</v>
      </c>
      <c r="B63" s="6" t="s">
        <v>102</v>
      </c>
      <c r="C63" s="7" t="s">
        <v>89</v>
      </c>
      <c r="D63" s="7" t="s">
        <v>103</v>
      </c>
      <c r="E63" s="49" t="s">
        <v>91</v>
      </c>
      <c r="F63" s="9" t="s">
        <v>11</v>
      </c>
      <c r="G63" s="5" t="str">
        <f>VLOOKUP(D63,Sheet3!A:C,3,0)</f>
        <v>SA44</v>
      </c>
    </row>
    <row r="64" spans="1:7" hidden="1" x14ac:dyDescent="0.3">
      <c r="A64" s="6" t="s">
        <v>104</v>
      </c>
      <c r="B64" s="6" t="s">
        <v>105</v>
      </c>
      <c r="C64" s="7" t="s">
        <v>89</v>
      </c>
      <c r="D64" s="7" t="s">
        <v>106</v>
      </c>
      <c r="E64" s="49" t="s">
        <v>91</v>
      </c>
      <c r="F64" s="9" t="s">
        <v>11</v>
      </c>
      <c r="G64" s="5" t="str">
        <f>VLOOKUP(D64,Sheet3!A:C,3,0)</f>
        <v>SA45</v>
      </c>
    </row>
    <row r="65" spans="1:7" hidden="1" x14ac:dyDescent="0.3">
      <c r="A65" s="6" t="s">
        <v>107</v>
      </c>
      <c r="B65" s="6" t="s">
        <v>108</v>
      </c>
      <c r="C65" s="7" t="s">
        <v>89</v>
      </c>
      <c r="D65" s="7" t="s">
        <v>109</v>
      </c>
      <c r="E65" s="49" t="s">
        <v>91</v>
      </c>
      <c r="F65" s="9" t="s">
        <v>11</v>
      </c>
      <c r="G65" s="5" t="str">
        <f>VLOOKUP(D65,Sheet3!A:C,3,0)</f>
        <v>SA46</v>
      </c>
    </row>
    <row r="66" spans="1:7" hidden="1" x14ac:dyDescent="0.3">
      <c r="A66" s="6" t="s">
        <v>110</v>
      </c>
      <c r="B66" s="6" t="s">
        <v>111</v>
      </c>
      <c r="C66" s="7" t="s">
        <v>112</v>
      </c>
      <c r="D66" s="7" t="s">
        <v>113</v>
      </c>
      <c r="E66" s="49" t="s">
        <v>112</v>
      </c>
      <c r="F66" s="9" t="s">
        <v>11</v>
      </c>
      <c r="G66" s="5" t="str">
        <f>VLOOKUP(D66,Sheet3!A:C,3,0)</f>
        <v>SA47</v>
      </c>
    </row>
    <row r="67" spans="1:7" hidden="1" x14ac:dyDescent="0.3">
      <c r="A67" s="6" t="s">
        <v>114</v>
      </c>
      <c r="B67" s="6" t="s">
        <v>115</v>
      </c>
      <c r="C67" s="7" t="s">
        <v>112</v>
      </c>
      <c r="D67" s="7" t="s">
        <v>116</v>
      </c>
      <c r="E67" s="49" t="s">
        <v>112</v>
      </c>
      <c r="F67" s="9" t="s">
        <v>11</v>
      </c>
      <c r="G67" s="5" t="str">
        <f>VLOOKUP(D67,Sheet3!A:C,3,0)</f>
        <v>SA48</v>
      </c>
    </row>
    <row r="68" spans="1:7" hidden="1" x14ac:dyDescent="0.3">
      <c r="A68" s="6" t="s">
        <v>117</v>
      </c>
      <c r="B68" s="6" t="s">
        <v>118</v>
      </c>
      <c r="C68" s="7" t="s">
        <v>112</v>
      </c>
      <c r="D68" s="10" t="s">
        <v>119</v>
      </c>
      <c r="E68" s="49" t="s">
        <v>112</v>
      </c>
      <c r="F68" s="9" t="s">
        <v>11</v>
      </c>
      <c r="G68" s="5" t="str">
        <f>VLOOKUP(D68,Sheet3!A:C,3,0)</f>
        <v>SA49</v>
      </c>
    </row>
    <row r="69" spans="1:7" hidden="1" x14ac:dyDescent="0.3">
      <c r="A69" s="6" t="s">
        <v>117</v>
      </c>
      <c r="B69" s="6" t="s">
        <v>118</v>
      </c>
      <c r="C69" s="7" t="s">
        <v>112</v>
      </c>
      <c r="D69" s="7" t="s">
        <v>120</v>
      </c>
      <c r="E69" s="49" t="s">
        <v>112</v>
      </c>
      <c r="F69" s="9" t="s">
        <v>11</v>
      </c>
      <c r="G69" s="5" t="str">
        <f>VLOOKUP(D69,Sheet3!A:C,3,0)</f>
        <v>SA50</v>
      </c>
    </row>
    <row r="70" spans="1:7" hidden="1" x14ac:dyDescent="0.3">
      <c r="A70" s="6" t="s">
        <v>117</v>
      </c>
      <c r="B70" s="6" t="s">
        <v>118</v>
      </c>
      <c r="C70" s="7" t="s">
        <v>112</v>
      </c>
      <c r="D70" s="7" t="s">
        <v>121</v>
      </c>
      <c r="E70" s="49" t="s">
        <v>112</v>
      </c>
      <c r="F70" s="9" t="s">
        <v>11</v>
      </c>
      <c r="G70" s="5" t="str">
        <f>VLOOKUP(D70,Sheet3!A:C,3,0)</f>
        <v>SA51</v>
      </c>
    </row>
    <row r="71" spans="1:7" hidden="1" x14ac:dyDescent="0.3">
      <c r="A71" s="6" t="s">
        <v>117</v>
      </c>
      <c r="B71" s="6" t="s">
        <v>118</v>
      </c>
      <c r="C71" s="7" t="s">
        <v>112</v>
      </c>
      <c r="D71" s="7" t="s">
        <v>122</v>
      </c>
      <c r="E71" s="49" t="s">
        <v>112</v>
      </c>
      <c r="F71" s="9" t="s">
        <v>11</v>
      </c>
      <c r="G71" s="5" t="str">
        <f>VLOOKUP(D71,Sheet3!A:C,3,0)</f>
        <v>SA52</v>
      </c>
    </row>
    <row r="72" spans="1:7" hidden="1" x14ac:dyDescent="0.3">
      <c r="A72" s="6" t="s">
        <v>123</v>
      </c>
      <c r="B72" s="11" t="s">
        <v>124</v>
      </c>
      <c r="C72" s="7" t="s">
        <v>124</v>
      </c>
      <c r="D72" s="7" t="s">
        <v>124</v>
      </c>
      <c r="E72" s="49" t="s">
        <v>124</v>
      </c>
      <c r="F72" s="24" t="s">
        <v>125</v>
      </c>
      <c r="G72" s="5" t="str">
        <f>VLOOKUP(D72,Sheet3!A:C,3,0)</f>
        <v>SA53</v>
      </c>
    </row>
    <row r="73" spans="1:7" hidden="1" x14ac:dyDescent="0.3">
      <c r="A73" s="6" t="s">
        <v>126</v>
      </c>
      <c r="B73" s="6" t="s">
        <v>127</v>
      </c>
      <c r="C73" s="7" t="s">
        <v>94</v>
      </c>
      <c r="D73" s="7" t="s">
        <v>128</v>
      </c>
      <c r="E73" s="49" t="s">
        <v>129</v>
      </c>
      <c r="F73" s="9" t="s">
        <v>11</v>
      </c>
      <c r="G73" s="5" t="str">
        <f>VLOOKUP(D73,Sheet3!A:C,3,0)</f>
        <v>SA54</v>
      </c>
    </row>
    <row r="74" spans="1:7" hidden="1" x14ac:dyDescent="0.3">
      <c r="A74" s="6" t="s">
        <v>130</v>
      </c>
      <c r="B74" s="6" t="s">
        <v>131</v>
      </c>
      <c r="C74" s="7" t="s">
        <v>97</v>
      </c>
      <c r="D74" s="7" t="s">
        <v>131</v>
      </c>
      <c r="E74" s="49" t="s">
        <v>131</v>
      </c>
      <c r="F74" s="9" t="s">
        <v>11</v>
      </c>
      <c r="G74" s="5" t="str">
        <f>VLOOKUP(D74,Sheet3!A:C,3,0)</f>
        <v>SA55</v>
      </c>
    </row>
    <row r="75" spans="1:7" hidden="1" x14ac:dyDescent="0.3">
      <c r="A75" s="6" t="s">
        <v>132</v>
      </c>
      <c r="B75" s="6" t="s">
        <v>133</v>
      </c>
      <c r="C75" s="7" t="s">
        <v>134</v>
      </c>
      <c r="D75" s="7" t="s">
        <v>135</v>
      </c>
      <c r="E75" s="49" t="s">
        <v>136</v>
      </c>
      <c r="F75" s="9" t="s">
        <v>137</v>
      </c>
      <c r="G75" s="5" t="str">
        <f>VLOOKUP(D75,Sheet3!A:C,3,0)</f>
        <v>SA56</v>
      </c>
    </row>
    <row r="76" spans="1:7" hidden="1" x14ac:dyDescent="0.3">
      <c r="A76" s="6" t="s">
        <v>618</v>
      </c>
      <c r="B76" s="6" t="s">
        <v>138</v>
      </c>
      <c r="C76" s="7" t="s">
        <v>134</v>
      </c>
      <c r="D76" s="7" t="s">
        <v>139</v>
      </c>
      <c r="E76" s="49" t="s">
        <v>140</v>
      </c>
      <c r="F76" s="9" t="s">
        <v>18</v>
      </c>
      <c r="G76" s="5" t="str">
        <f>VLOOKUP(D76,Sheet3!A:C,3,0)</f>
        <v>SA57</v>
      </c>
    </row>
    <row r="77" spans="1:7" hidden="1" x14ac:dyDescent="0.3">
      <c r="A77" s="6" t="s">
        <v>141</v>
      </c>
      <c r="B77" s="6" t="s">
        <v>142</v>
      </c>
      <c r="C77" s="7" t="s">
        <v>134</v>
      </c>
      <c r="D77" s="7" t="s">
        <v>143</v>
      </c>
      <c r="E77" s="49" t="s">
        <v>140</v>
      </c>
      <c r="F77" s="9" t="s">
        <v>18</v>
      </c>
      <c r="G77" s="5" t="str">
        <f>VLOOKUP(D77,Sheet3!A:C,3,0)</f>
        <v>ZY65</v>
      </c>
    </row>
    <row r="78" spans="1:7" hidden="1" x14ac:dyDescent="0.3">
      <c r="A78" s="6" t="s">
        <v>141</v>
      </c>
      <c r="B78" s="6" t="s">
        <v>142</v>
      </c>
      <c r="C78" s="7" t="s">
        <v>134</v>
      </c>
      <c r="D78" s="7" t="s">
        <v>144</v>
      </c>
      <c r="E78" s="49" t="s">
        <v>140</v>
      </c>
      <c r="F78" s="9" t="s">
        <v>18</v>
      </c>
      <c r="G78" s="5" t="str">
        <f>VLOOKUP(D78,Sheet3!A:C,3,0)</f>
        <v>SA58</v>
      </c>
    </row>
    <row r="79" spans="1:7" hidden="1" x14ac:dyDescent="0.3">
      <c r="A79" s="6" t="s">
        <v>141</v>
      </c>
      <c r="B79" s="6" t="s">
        <v>142</v>
      </c>
      <c r="C79" s="7" t="s">
        <v>134</v>
      </c>
      <c r="D79" s="7" t="s">
        <v>145</v>
      </c>
      <c r="E79" s="49" t="s">
        <v>140</v>
      </c>
      <c r="F79" s="9" t="s">
        <v>18</v>
      </c>
      <c r="G79" s="5" t="str">
        <f>VLOOKUP(D79,Sheet3!A:C,3,0)</f>
        <v>SA59</v>
      </c>
    </row>
    <row r="80" spans="1:7" hidden="1" x14ac:dyDescent="0.3">
      <c r="A80" s="6" t="s">
        <v>141</v>
      </c>
      <c r="B80" s="6" t="s">
        <v>142</v>
      </c>
      <c r="C80" s="7" t="s">
        <v>134</v>
      </c>
      <c r="D80" s="7" t="s">
        <v>146</v>
      </c>
      <c r="E80" s="49" t="s">
        <v>140</v>
      </c>
      <c r="F80" s="9" t="s">
        <v>18</v>
      </c>
      <c r="G80" s="5" t="str">
        <f>VLOOKUP(D80,Sheet3!A:C,3,0)</f>
        <v>ZY66</v>
      </c>
    </row>
    <row r="81" spans="1:7" hidden="1" x14ac:dyDescent="0.3">
      <c r="A81" s="6" t="s">
        <v>147</v>
      </c>
      <c r="B81" s="6" t="s">
        <v>148</v>
      </c>
      <c r="C81" s="7" t="s">
        <v>134</v>
      </c>
      <c r="D81" s="7" t="s">
        <v>149</v>
      </c>
      <c r="E81" s="49" t="s">
        <v>140</v>
      </c>
      <c r="F81" s="9" t="s">
        <v>18</v>
      </c>
      <c r="G81" s="5" t="str">
        <f>VLOOKUP(D81,Sheet3!A:C,3,0)</f>
        <v>ZY67</v>
      </c>
    </row>
    <row r="82" spans="1:7" hidden="1" x14ac:dyDescent="0.3">
      <c r="A82" s="6" t="s">
        <v>619</v>
      </c>
      <c r="B82" s="6" t="s">
        <v>150</v>
      </c>
      <c r="C82" s="7" t="s">
        <v>134</v>
      </c>
      <c r="D82" s="7" t="s">
        <v>151</v>
      </c>
      <c r="E82" s="49" t="s">
        <v>140</v>
      </c>
      <c r="F82" s="9" t="s">
        <v>18</v>
      </c>
      <c r="G82" s="5" t="str">
        <f>VLOOKUP(D82,Sheet3!A:C,3,0)</f>
        <v>ZY68</v>
      </c>
    </row>
    <row r="83" spans="1:7" hidden="1" x14ac:dyDescent="0.3">
      <c r="A83" s="6" t="s">
        <v>619</v>
      </c>
      <c r="B83" s="6" t="s">
        <v>150</v>
      </c>
      <c r="C83" s="7" t="s">
        <v>134</v>
      </c>
      <c r="D83" s="7" t="s">
        <v>152</v>
      </c>
      <c r="E83" s="49" t="s">
        <v>140</v>
      </c>
      <c r="F83" s="9" t="s">
        <v>18</v>
      </c>
      <c r="G83" s="5" t="str">
        <f>VLOOKUP(D83,Sheet3!A:C,3,0)</f>
        <v>SA60</v>
      </c>
    </row>
    <row r="84" spans="1:7" hidden="1" x14ac:dyDescent="0.3">
      <c r="A84" s="6" t="s">
        <v>619</v>
      </c>
      <c r="B84" s="6" t="s">
        <v>150</v>
      </c>
      <c r="C84" s="7" t="s">
        <v>134</v>
      </c>
      <c r="D84" s="7" t="s">
        <v>153</v>
      </c>
      <c r="E84" s="49" t="s">
        <v>140</v>
      </c>
      <c r="F84" s="9" t="s">
        <v>18</v>
      </c>
      <c r="G84" s="5" t="str">
        <f>VLOOKUP(D84,Sheet3!A:C,3,0)</f>
        <v>SA61</v>
      </c>
    </row>
    <row r="85" spans="1:7" hidden="1" x14ac:dyDescent="0.3">
      <c r="A85" s="6" t="s">
        <v>619</v>
      </c>
      <c r="B85" s="6" t="s">
        <v>150</v>
      </c>
      <c r="C85" s="7" t="s">
        <v>27</v>
      </c>
      <c r="D85" s="7" t="s">
        <v>154</v>
      </c>
      <c r="E85" s="49" t="s">
        <v>140</v>
      </c>
      <c r="F85" s="9" t="s">
        <v>18</v>
      </c>
      <c r="G85" s="5" t="str">
        <f>VLOOKUP(D85,Sheet3!A:C,3,0)</f>
        <v>ZY71</v>
      </c>
    </row>
    <row r="86" spans="1:7" hidden="1" x14ac:dyDescent="0.3">
      <c r="A86" s="6" t="s">
        <v>619</v>
      </c>
      <c r="B86" s="6" t="s">
        <v>150</v>
      </c>
      <c r="C86" s="7" t="s">
        <v>134</v>
      </c>
      <c r="D86" s="7" t="s">
        <v>155</v>
      </c>
      <c r="E86" s="49" t="s">
        <v>140</v>
      </c>
      <c r="F86" s="9" t="s">
        <v>18</v>
      </c>
      <c r="G86" s="5" t="str">
        <f>VLOOKUP(D86,Sheet3!A:C,3,0)</f>
        <v>SA187</v>
      </c>
    </row>
    <row r="87" spans="1:7" hidden="1" x14ac:dyDescent="0.3">
      <c r="A87" s="6" t="s">
        <v>619</v>
      </c>
      <c r="B87" s="6" t="s">
        <v>150</v>
      </c>
      <c r="C87" s="7" t="s">
        <v>134</v>
      </c>
      <c r="D87" s="7" t="s">
        <v>156</v>
      </c>
      <c r="E87" s="49" t="s">
        <v>140</v>
      </c>
      <c r="F87" s="9" t="s">
        <v>18</v>
      </c>
      <c r="G87" s="5" t="str">
        <f>VLOOKUP(D87,Sheet3!A:C,3,0)</f>
        <v>SA62</v>
      </c>
    </row>
    <row r="88" spans="1:7" hidden="1" x14ac:dyDescent="0.3">
      <c r="A88" s="6" t="s">
        <v>619</v>
      </c>
      <c r="B88" s="6" t="s">
        <v>150</v>
      </c>
      <c r="C88" s="7" t="s">
        <v>21</v>
      </c>
      <c r="D88" s="7" t="s">
        <v>157</v>
      </c>
      <c r="E88" s="49" t="s">
        <v>140</v>
      </c>
      <c r="F88" s="9" t="s">
        <v>18</v>
      </c>
      <c r="G88" s="5" t="str">
        <f>VLOOKUP(D88,Sheet3!A:C,3,0)</f>
        <v>ZY69</v>
      </c>
    </row>
    <row r="89" spans="1:7" hidden="1" x14ac:dyDescent="0.3">
      <c r="A89" s="6" t="s">
        <v>619</v>
      </c>
      <c r="B89" s="6" t="s">
        <v>150</v>
      </c>
      <c r="C89" s="7" t="s">
        <v>134</v>
      </c>
      <c r="D89" s="7" t="s">
        <v>158</v>
      </c>
      <c r="E89" s="49" t="s">
        <v>140</v>
      </c>
      <c r="F89" s="9" t="s">
        <v>18</v>
      </c>
      <c r="G89" s="5" t="str">
        <f>VLOOKUP(D89,Sheet3!A:C,3,0)</f>
        <v>ZY70</v>
      </c>
    </row>
    <row r="90" spans="1:7" hidden="1" x14ac:dyDescent="0.3">
      <c r="A90" s="6" t="s">
        <v>159</v>
      </c>
      <c r="B90" s="6" t="s">
        <v>160</v>
      </c>
      <c r="C90" s="7" t="s">
        <v>134</v>
      </c>
      <c r="D90" s="10" t="s">
        <v>161</v>
      </c>
      <c r="E90" s="49" t="s">
        <v>162</v>
      </c>
      <c r="F90" s="9" t="s">
        <v>137</v>
      </c>
      <c r="G90" s="5" t="str">
        <f>VLOOKUP(D90,Sheet3!A:C,3,0)</f>
        <v>ZY72</v>
      </c>
    </row>
    <row r="91" spans="1:7" hidden="1" x14ac:dyDescent="0.3">
      <c r="A91" s="6" t="s">
        <v>159</v>
      </c>
      <c r="B91" s="6" t="s">
        <v>160</v>
      </c>
      <c r="C91" s="7" t="s">
        <v>134</v>
      </c>
      <c r="D91" s="10" t="s">
        <v>161</v>
      </c>
      <c r="E91" s="49" t="s">
        <v>162</v>
      </c>
      <c r="F91" s="9" t="s">
        <v>137</v>
      </c>
      <c r="G91" s="5" t="str">
        <f>VLOOKUP(D91,Sheet3!A:C,3,0)</f>
        <v>ZY72</v>
      </c>
    </row>
    <row r="92" spans="1:7" hidden="1" x14ac:dyDescent="0.3">
      <c r="A92" s="6" t="s">
        <v>159</v>
      </c>
      <c r="B92" s="6" t="s">
        <v>160</v>
      </c>
      <c r="C92" s="7" t="s">
        <v>134</v>
      </c>
      <c r="D92" s="10" t="s">
        <v>161</v>
      </c>
      <c r="E92" s="49" t="s">
        <v>162</v>
      </c>
      <c r="F92" s="9" t="s">
        <v>137</v>
      </c>
      <c r="G92" s="5" t="str">
        <f>VLOOKUP(D92,Sheet3!A:C,3,0)</f>
        <v>ZY72</v>
      </c>
    </row>
    <row r="93" spans="1:7" hidden="1" x14ac:dyDescent="0.3">
      <c r="A93" s="6" t="s">
        <v>159</v>
      </c>
      <c r="B93" s="6" t="s">
        <v>160</v>
      </c>
      <c r="C93" s="7" t="s">
        <v>134</v>
      </c>
      <c r="D93" s="10" t="s">
        <v>161</v>
      </c>
      <c r="E93" s="49" t="s">
        <v>162</v>
      </c>
      <c r="F93" s="9" t="s">
        <v>137</v>
      </c>
      <c r="G93" s="5" t="str">
        <f>VLOOKUP(D93,Sheet3!A:C,3,0)</f>
        <v>ZY72</v>
      </c>
    </row>
    <row r="94" spans="1:7" hidden="1" x14ac:dyDescent="0.3">
      <c r="A94" s="6" t="s">
        <v>159</v>
      </c>
      <c r="B94" s="6" t="s">
        <v>160</v>
      </c>
      <c r="C94" s="7" t="s">
        <v>134</v>
      </c>
      <c r="D94" s="10" t="s">
        <v>161</v>
      </c>
      <c r="E94" s="49" t="s">
        <v>162</v>
      </c>
      <c r="F94" s="9" t="s">
        <v>137</v>
      </c>
      <c r="G94" s="5" t="str">
        <f>VLOOKUP(D94,Sheet3!A:C,3,0)</f>
        <v>ZY72</v>
      </c>
    </row>
    <row r="95" spans="1:7" hidden="1" x14ac:dyDescent="0.3">
      <c r="A95" s="6" t="s">
        <v>159</v>
      </c>
      <c r="B95" s="6" t="s">
        <v>160</v>
      </c>
      <c r="C95" s="7" t="s">
        <v>134</v>
      </c>
      <c r="D95" s="10" t="s">
        <v>161</v>
      </c>
      <c r="E95" s="49" t="s">
        <v>162</v>
      </c>
      <c r="F95" s="9" t="s">
        <v>137</v>
      </c>
      <c r="G95" s="5" t="str">
        <f>VLOOKUP(D95,Sheet3!A:C,3,0)</f>
        <v>ZY72</v>
      </c>
    </row>
    <row r="96" spans="1:7" hidden="1" x14ac:dyDescent="0.3">
      <c r="A96" s="6" t="s">
        <v>159</v>
      </c>
      <c r="B96" s="6" t="s">
        <v>160</v>
      </c>
      <c r="C96" s="7" t="s">
        <v>134</v>
      </c>
      <c r="D96" s="10" t="s">
        <v>161</v>
      </c>
      <c r="E96" s="49" t="s">
        <v>162</v>
      </c>
      <c r="F96" s="9" t="s">
        <v>137</v>
      </c>
      <c r="G96" s="5" t="str">
        <f>VLOOKUP(D96,Sheet3!A:C,3,0)</f>
        <v>ZY72</v>
      </c>
    </row>
    <row r="97" spans="1:7" hidden="1" x14ac:dyDescent="0.3">
      <c r="A97" s="6" t="s">
        <v>159</v>
      </c>
      <c r="B97" s="6" t="s">
        <v>160</v>
      </c>
      <c r="C97" s="7" t="s">
        <v>134</v>
      </c>
      <c r="D97" s="10" t="s">
        <v>161</v>
      </c>
      <c r="E97" s="49" t="s">
        <v>162</v>
      </c>
      <c r="F97" s="9" t="s">
        <v>137</v>
      </c>
      <c r="G97" s="5" t="str">
        <f>VLOOKUP(D97,Sheet3!A:C,3,0)</f>
        <v>ZY72</v>
      </c>
    </row>
    <row r="98" spans="1:7" hidden="1" x14ac:dyDescent="0.3">
      <c r="A98" s="6" t="s">
        <v>159</v>
      </c>
      <c r="B98" s="6" t="s">
        <v>160</v>
      </c>
      <c r="C98" s="7" t="s">
        <v>134</v>
      </c>
      <c r="D98" s="10" t="s">
        <v>161</v>
      </c>
      <c r="E98" s="49" t="s">
        <v>162</v>
      </c>
      <c r="F98" s="9" t="s">
        <v>137</v>
      </c>
      <c r="G98" s="5" t="str">
        <f>VLOOKUP(D98,Sheet3!A:C,3,0)</f>
        <v>ZY72</v>
      </c>
    </row>
    <row r="99" spans="1:7" hidden="1" x14ac:dyDescent="0.3">
      <c r="A99" s="6" t="s">
        <v>620</v>
      </c>
      <c r="B99" s="6" t="s">
        <v>163</v>
      </c>
      <c r="C99" s="7" t="s">
        <v>134</v>
      </c>
      <c r="D99" s="7" t="s">
        <v>164</v>
      </c>
      <c r="E99" s="49" t="s">
        <v>165</v>
      </c>
      <c r="F99" s="9" t="s">
        <v>137</v>
      </c>
      <c r="G99" s="5" t="str">
        <f>VLOOKUP(D99,Sheet3!A:C,3,0)</f>
        <v>ZY62</v>
      </c>
    </row>
    <row r="100" spans="1:7" hidden="1" x14ac:dyDescent="0.3">
      <c r="A100" s="6" t="s">
        <v>620</v>
      </c>
      <c r="B100" s="6" t="s">
        <v>163</v>
      </c>
      <c r="C100" s="7" t="s">
        <v>134</v>
      </c>
      <c r="D100" s="10" t="s">
        <v>164</v>
      </c>
      <c r="E100" s="49" t="s">
        <v>165</v>
      </c>
      <c r="F100" s="9" t="s">
        <v>137</v>
      </c>
      <c r="G100" s="5" t="str">
        <f>VLOOKUP(D100,Sheet3!A:C,3,0)</f>
        <v>ZY62</v>
      </c>
    </row>
    <row r="101" spans="1:7" hidden="1" x14ac:dyDescent="0.3">
      <c r="A101" s="6" t="s">
        <v>620</v>
      </c>
      <c r="B101" s="6" t="s">
        <v>163</v>
      </c>
      <c r="C101" s="7" t="s">
        <v>134</v>
      </c>
      <c r="D101" s="10" t="s">
        <v>164</v>
      </c>
      <c r="E101" s="49" t="s">
        <v>165</v>
      </c>
      <c r="F101" s="9" t="s">
        <v>137</v>
      </c>
      <c r="G101" s="5" t="str">
        <f>VLOOKUP(D101,Sheet3!A:C,3,0)</f>
        <v>ZY62</v>
      </c>
    </row>
    <row r="102" spans="1:7" hidden="1" x14ac:dyDescent="0.3">
      <c r="A102" s="6" t="s">
        <v>620</v>
      </c>
      <c r="B102" s="6" t="s">
        <v>163</v>
      </c>
      <c r="C102" s="7" t="s">
        <v>134</v>
      </c>
      <c r="D102" s="10" t="s">
        <v>164</v>
      </c>
      <c r="E102" s="49" t="s">
        <v>165</v>
      </c>
      <c r="F102" s="9" t="s">
        <v>137</v>
      </c>
      <c r="G102" s="5" t="str">
        <f>VLOOKUP(D102,Sheet3!A:C,3,0)</f>
        <v>ZY62</v>
      </c>
    </row>
    <row r="103" spans="1:7" hidden="1" x14ac:dyDescent="0.3">
      <c r="A103" s="6" t="s">
        <v>620</v>
      </c>
      <c r="B103" s="6" t="s">
        <v>163</v>
      </c>
      <c r="C103" s="7" t="s">
        <v>134</v>
      </c>
      <c r="D103" s="10" t="s">
        <v>164</v>
      </c>
      <c r="E103" s="49" t="s">
        <v>165</v>
      </c>
      <c r="F103" s="9" t="s">
        <v>137</v>
      </c>
      <c r="G103" s="5" t="str">
        <f>VLOOKUP(D103,Sheet3!A:C,3,0)</f>
        <v>ZY62</v>
      </c>
    </row>
    <row r="104" spans="1:7" hidden="1" x14ac:dyDescent="0.3">
      <c r="A104" s="6" t="s">
        <v>620</v>
      </c>
      <c r="B104" s="6" t="s">
        <v>163</v>
      </c>
      <c r="C104" s="7" t="s">
        <v>134</v>
      </c>
      <c r="D104" s="10" t="s">
        <v>164</v>
      </c>
      <c r="E104" s="49" t="s">
        <v>165</v>
      </c>
      <c r="F104" s="9" t="s">
        <v>137</v>
      </c>
      <c r="G104" s="5" t="str">
        <f>VLOOKUP(D104,Sheet3!A:C,3,0)</f>
        <v>ZY62</v>
      </c>
    </row>
    <row r="105" spans="1:7" hidden="1" x14ac:dyDescent="0.3">
      <c r="A105" s="6" t="s">
        <v>620</v>
      </c>
      <c r="B105" s="6" t="s">
        <v>163</v>
      </c>
      <c r="C105" s="7" t="s">
        <v>134</v>
      </c>
      <c r="D105" s="10" t="s">
        <v>164</v>
      </c>
      <c r="E105" s="49" t="s">
        <v>165</v>
      </c>
      <c r="F105" s="9" t="s">
        <v>137</v>
      </c>
      <c r="G105" s="5" t="str">
        <f>VLOOKUP(D105,Sheet3!A:C,3,0)</f>
        <v>ZY62</v>
      </c>
    </row>
    <row r="106" spans="1:7" hidden="1" x14ac:dyDescent="0.3">
      <c r="A106" s="6" t="s">
        <v>620</v>
      </c>
      <c r="B106" s="6" t="s">
        <v>163</v>
      </c>
      <c r="C106" s="7" t="s">
        <v>134</v>
      </c>
      <c r="D106" s="10" t="s">
        <v>164</v>
      </c>
      <c r="E106" s="49" t="s">
        <v>165</v>
      </c>
      <c r="F106" s="9" t="s">
        <v>137</v>
      </c>
      <c r="G106" s="5" t="str">
        <f>VLOOKUP(D106,Sheet3!A:C,3,0)</f>
        <v>ZY62</v>
      </c>
    </row>
    <row r="107" spans="1:7" hidden="1" x14ac:dyDescent="0.3">
      <c r="A107" s="6" t="s">
        <v>620</v>
      </c>
      <c r="B107" s="6" t="s">
        <v>163</v>
      </c>
      <c r="C107" s="7" t="s">
        <v>134</v>
      </c>
      <c r="D107" s="10" t="s">
        <v>164</v>
      </c>
      <c r="E107" s="49" t="s">
        <v>165</v>
      </c>
      <c r="F107" s="9" t="s">
        <v>137</v>
      </c>
      <c r="G107" s="5" t="str">
        <f>VLOOKUP(D107,Sheet3!A:C,3,0)</f>
        <v>ZY62</v>
      </c>
    </row>
    <row r="108" spans="1:7" hidden="1" x14ac:dyDescent="0.3">
      <c r="A108" s="6" t="s">
        <v>620</v>
      </c>
      <c r="B108" s="6" t="s">
        <v>163</v>
      </c>
      <c r="C108" s="7" t="s">
        <v>134</v>
      </c>
      <c r="D108" s="10" t="s">
        <v>164</v>
      </c>
      <c r="E108" s="49" t="s">
        <v>165</v>
      </c>
      <c r="F108" s="9" t="s">
        <v>137</v>
      </c>
      <c r="G108" s="5" t="str">
        <f>VLOOKUP(D108,Sheet3!A:C,3,0)</f>
        <v>ZY62</v>
      </c>
    </row>
    <row r="109" spans="1:7" hidden="1" x14ac:dyDescent="0.3">
      <c r="A109" s="6" t="s">
        <v>620</v>
      </c>
      <c r="B109" s="6" t="s">
        <v>163</v>
      </c>
      <c r="C109" s="7" t="s">
        <v>134</v>
      </c>
      <c r="D109" s="10" t="s">
        <v>164</v>
      </c>
      <c r="E109" s="49" t="s">
        <v>165</v>
      </c>
      <c r="F109" s="9" t="s">
        <v>137</v>
      </c>
      <c r="G109" s="5" t="str">
        <f>VLOOKUP(D109,Sheet3!A:C,3,0)</f>
        <v>ZY62</v>
      </c>
    </row>
    <row r="110" spans="1:7" hidden="1" x14ac:dyDescent="0.3">
      <c r="A110" s="6" t="s">
        <v>620</v>
      </c>
      <c r="B110" s="6" t="s">
        <v>163</v>
      </c>
      <c r="C110" s="7" t="s">
        <v>134</v>
      </c>
      <c r="D110" s="10" t="s">
        <v>164</v>
      </c>
      <c r="E110" s="49" t="s">
        <v>165</v>
      </c>
      <c r="F110" s="9" t="s">
        <v>137</v>
      </c>
      <c r="G110" s="5" t="str">
        <f>VLOOKUP(D110,Sheet3!A:C,3,0)</f>
        <v>ZY62</v>
      </c>
    </row>
    <row r="111" spans="1:7" hidden="1" x14ac:dyDescent="0.3">
      <c r="A111" s="6" t="s">
        <v>620</v>
      </c>
      <c r="B111" s="6" t="s">
        <v>163</v>
      </c>
      <c r="C111" s="7" t="s">
        <v>134</v>
      </c>
      <c r="D111" s="10" t="s">
        <v>164</v>
      </c>
      <c r="E111" s="49" t="s">
        <v>165</v>
      </c>
      <c r="F111" s="9" t="s">
        <v>137</v>
      </c>
      <c r="G111" s="5" t="str">
        <f>VLOOKUP(D111,Sheet3!A:C,3,0)</f>
        <v>ZY62</v>
      </c>
    </row>
    <row r="112" spans="1:7" hidden="1" x14ac:dyDescent="0.3">
      <c r="A112" s="6" t="s">
        <v>620</v>
      </c>
      <c r="B112" s="6" t="s">
        <v>163</v>
      </c>
      <c r="C112" s="7" t="s">
        <v>134</v>
      </c>
      <c r="D112" s="10" t="s">
        <v>164</v>
      </c>
      <c r="E112" s="49" t="s">
        <v>165</v>
      </c>
      <c r="F112" s="9" t="s">
        <v>137</v>
      </c>
      <c r="G112" s="5" t="str">
        <f>VLOOKUP(D112,Sheet3!A:C,3,0)</f>
        <v>ZY62</v>
      </c>
    </row>
    <row r="113" spans="1:7" hidden="1" x14ac:dyDescent="0.3">
      <c r="A113" s="6" t="s">
        <v>620</v>
      </c>
      <c r="B113" s="6" t="s">
        <v>163</v>
      </c>
      <c r="C113" s="7" t="s">
        <v>134</v>
      </c>
      <c r="D113" s="10" t="s">
        <v>164</v>
      </c>
      <c r="E113" s="49" t="s">
        <v>165</v>
      </c>
      <c r="F113" s="9" t="s">
        <v>137</v>
      </c>
      <c r="G113" s="5" t="str">
        <f>VLOOKUP(D113,Sheet3!A:C,3,0)</f>
        <v>ZY62</v>
      </c>
    </row>
    <row r="114" spans="1:7" hidden="1" x14ac:dyDescent="0.3">
      <c r="A114" s="6" t="s">
        <v>620</v>
      </c>
      <c r="B114" s="6" t="s">
        <v>163</v>
      </c>
      <c r="C114" s="7" t="s">
        <v>134</v>
      </c>
      <c r="D114" s="10" t="s">
        <v>164</v>
      </c>
      <c r="E114" s="49" t="s">
        <v>165</v>
      </c>
      <c r="F114" s="9" t="s">
        <v>137</v>
      </c>
      <c r="G114" s="5" t="str">
        <f>VLOOKUP(D114,Sheet3!A:C,3,0)</f>
        <v>ZY62</v>
      </c>
    </row>
    <row r="115" spans="1:7" hidden="1" x14ac:dyDescent="0.3">
      <c r="A115" s="6" t="s">
        <v>620</v>
      </c>
      <c r="B115" s="6" t="s">
        <v>163</v>
      </c>
      <c r="C115" s="7" t="s">
        <v>134</v>
      </c>
      <c r="D115" s="10" t="s">
        <v>164</v>
      </c>
      <c r="E115" s="49" t="s">
        <v>165</v>
      </c>
      <c r="F115" s="9" t="s">
        <v>137</v>
      </c>
      <c r="G115" s="5" t="str">
        <f>VLOOKUP(D115,Sheet3!A:C,3,0)</f>
        <v>ZY62</v>
      </c>
    </row>
    <row r="116" spans="1:7" hidden="1" x14ac:dyDescent="0.3">
      <c r="A116" s="6" t="s">
        <v>620</v>
      </c>
      <c r="B116" s="6" t="s">
        <v>163</v>
      </c>
      <c r="C116" s="7" t="s">
        <v>134</v>
      </c>
      <c r="D116" s="10" t="s">
        <v>164</v>
      </c>
      <c r="E116" s="49" t="s">
        <v>165</v>
      </c>
      <c r="F116" s="9" t="s">
        <v>137</v>
      </c>
      <c r="G116" s="5" t="str">
        <f>VLOOKUP(D116,Sheet3!A:C,3,0)</f>
        <v>ZY62</v>
      </c>
    </row>
    <row r="117" spans="1:7" hidden="1" x14ac:dyDescent="0.3">
      <c r="A117" s="6" t="s">
        <v>620</v>
      </c>
      <c r="B117" s="6" t="s">
        <v>163</v>
      </c>
      <c r="C117" s="7" t="s">
        <v>134</v>
      </c>
      <c r="D117" s="10" t="s">
        <v>164</v>
      </c>
      <c r="E117" s="49" t="s">
        <v>165</v>
      </c>
      <c r="F117" s="9" t="s">
        <v>137</v>
      </c>
      <c r="G117" s="5" t="str">
        <f>VLOOKUP(D117,Sheet3!A:C,3,0)</f>
        <v>ZY62</v>
      </c>
    </row>
    <row r="118" spans="1:7" hidden="1" x14ac:dyDescent="0.3">
      <c r="A118" s="6" t="s">
        <v>620</v>
      </c>
      <c r="B118" s="6" t="s">
        <v>163</v>
      </c>
      <c r="C118" s="7" t="s">
        <v>134</v>
      </c>
      <c r="D118" s="10" t="s">
        <v>164</v>
      </c>
      <c r="E118" s="49" t="s">
        <v>165</v>
      </c>
      <c r="F118" s="9" t="s">
        <v>137</v>
      </c>
      <c r="G118" s="5" t="str">
        <f>VLOOKUP(D118,Sheet3!A:C,3,0)</f>
        <v>ZY62</v>
      </c>
    </row>
    <row r="119" spans="1:7" hidden="1" x14ac:dyDescent="0.3">
      <c r="A119" s="6" t="s">
        <v>620</v>
      </c>
      <c r="B119" s="6" t="s">
        <v>163</v>
      </c>
      <c r="C119" s="7" t="s">
        <v>134</v>
      </c>
      <c r="D119" s="10" t="s">
        <v>166</v>
      </c>
      <c r="E119" s="49" t="s">
        <v>167</v>
      </c>
      <c r="F119" s="9" t="s">
        <v>137</v>
      </c>
      <c r="G119" s="5" t="str">
        <f>VLOOKUP(D119,Sheet3!A:C,3,0)</f>
        <v>ZY63</v>
      </c>
    </row>
    <row r="120" spans="1:7" hidden="1" x14ac:dyDescent="0.3">
      <c r="A120" s="6" t="s">
        <v>620</v>
      </c>
      <c r="B120" s="6" t="s">
        <v>163</v>
      </c>
      <c r="C120" s="7" t="s">
        <v>134</v>
      </c>
      <c r="D120" s="10" t="s">
        <v>168</v>
      </c>
      <c r="E120" s="49" t="s">
        <v>169</v>
      </c>
      <c r="F120" s="9" t="s">
        <v>137</v>
      </c>
      <c r="G120" s="5" t="str">
        <f>VLOOKUP(D120,Sheet3!A:C,3,0)</f>
        <v>ZY64</v>
      </c>
    </row>
    <row r="121" spans="1:7" hidden="1" x14ac:dyDescent="0.3">
      <c r="A121" s="6" t="s">
        <v>620</v>
      </c>
      <c r="B121" s="6" t="s">
        <v>163</v>
      </c>
      <c r="C121" s="7" t="s">
        <v>134</v>
      </c>
      <c r="D121" s="10" t="s">
        <v>168</v>
      </c>
      <c r="E121" s="49" t="s">
        <v>169</v>
      </c>
      <c r="F121" s="9" t="s">
        <v>137</v>
      </c>
      <c r="G121" s="5" t="str">
        <f>VLOOKUP(D121,Sheet3!A:C,3,0)</f>
        <v>ZY64</v>
      </c>
    </row>
    <row r="122" spans="1:7" hidden="1" x14ac:dyDescent="0.3">
      <c r="A122" s="6" t="s">
        <v>620</v>
      </c>
      <c r="B122" s="6" t="s">
        <v>163</v>
      </c>
      <c r="C122" s="7" t="s">
        <v>134</v>
      </c>
      <c r="D122" s="10" t="s">
        <v>168</v>
      </c>
      <c r="E122" s="49" t="s">
        <v>169</v>
      </c>
      <c r="F122" s="9" t="s">
        <v>137</v>
      </c>
      <c r="G122" s="5" t="str">
        <f>VLOOKUP(D122,Sheet3!A:C,3,0)</f>
        <v>ZY64</v>
      </c>
    </row>
    <row r="123" spans="1:7" hidden="1" x14ac:dyDescent="0.3">
      <c r="A123" s="6" t="s">
        <v>620</v>
      </c>
      <c r="B123" s="6" t="s">
        <v>163</v>
      </c>
      <c r="C123" s="7" t="s">
        <v>134</v>
      </c>
      <c r="D123" s="10" t="s">
        <v>168</v>
      </c>
      <c r="E123" s="49" t="s">
        <v>169</v>
      </c>
      <c r="F123" s="9" t="s">
        <v>137</v>
      </c>
      <c r="G123" s="5" t="str">
        <f>VLOOKUP(D123,Sheet3!A:C,3,0)</f>
        <v>ZY64</v>
      </c>
    </row>
    <row r="124" spans="1:7" hidden="1" x14ac:dyDescent="0.3">
      <c r="A124" s="6" t="s">
        <v>620</v>
      </c>
      <c r="B124" s="6" t="s">
        <v>163</v>
      </c>
      <c r="C124" s="7" t="s">
        <v>134</v>
      </c>
      <c r="D124" s="10" t="s">
        <v>168</v>
      </c>
      <c r="E124" s="49" t="s">
        <v>169</v>
      </c>
      <c r="F124" s="9" t="s">
        <v>137</v>
      </c>
      <c r="G124" s="5" t="str">
        <f>VLOOKUP(D124,Sheet3!A:C,3,0)</f>
        <v>ZY64</v>
      </c>
    </row>
    <row r="125" spans="1:7" hidden="1" x14ac:dyDescent="0.3">
      <c r="A125" s="6" t="s">
        <v>620</v>
      </c>
      <c r="B125" s="6" t="s">
        <v>163</v>
      </c>
      <c r="C125" s="7" t="s">
        <v>134</v>
      </c>
      <c r="D125" s="10" t="s">
        <v>168</v>
      </c>
      <c r="E125" s="49" t="s">
        <v>169</v>
      </c>
      <c r="F125" s="9" t="s">
        <v>137</v>
      </c>
      <c r="G125" s="5" t="str">
        <f>VLOOKUP(D125,Sheet3!A:C,3,0)</f>
        <v>ZY64</v>
      </c>
    </row>
    <row r="126" spans="1:7" hidden="1" x14ac:dyDescent="0.3">
      <c r="A126" s="6" t="s">
        <v>620</v>
      </c>
      <c r="B126" s="6" t="s">
        <v>163</v>
      </c>
      <c r="C126" s="7" t="s">
        <v>134</v>
      </c>
      <c r="D126" s="10" t="s">
        <v>168</v>
      </c>
      <c r="E126" s="49" t="s">
        <v>169</v>
      </c>
      <c r="F126" s="9" t="s">
        <v>137</v>
      </c>
      <c r="G126" s="5" t="str">
        <f>VLOOKUP(D126,Sheet3!A:C,3,0)</f>
        <v>ZY64</v>
      </c>
    </row>
    <row r="127" spans="1:7" hidden="1" x14ac:dyDescent="0.3">
      <c r="A127" s="6" t="s">
        <v>620</v>
      </c>
      <c r="B127" s="6" t="s">
        <v>163</v>
      </c>
      <c r="C127" s="7" t="s">
        <v>134</v>
      </c>
      <c r="D127" s="10" t="s">
        <v>168</v>
      </c>
      <c r="E127" s="49" t="s">
        <v>169</v>
      </c>
      <c r="F127" s="9" t="s">
        <v>137</v>
      </c>
      <c r="G127" s="5" t="str">
        <f>VLOOKUP(D127,Sheet3!A:C,3,0)</f>
        <v>ZY64</v>
      </c>
    </row>
    <row r="128" spans="1:7" hidden="1" x14ac:dyDescent="0.3">
      <c r="A128" s="6" t="s">
        <v>620</v>
      </c>
      <c r="B128" s="6" t="s">
        <v>163</v>
      </c>
      <c r="C128" s="7" t="s">
        <v>134</v>
      </c>
      <c r="D128" s="10" t="s">
        <v>168</v>
      </c>
      <c r="E128" s="49" t="s">
        <v>169</v>
      </c>
      <c r="F128" s="9" t="s">
        <v>137</v>
      </c>
      <c r="G128" s="5" t="str">
        <f>VLOOKUP(D128,Sheet3!A:C,3,0)</f>
        <v>ZY64</v>
      </c>
    </row>
    <row r="129" spans="1:7" hidden="1" x14ac:dyDescent="0.3">
      <c r="A129" s="6" t="s">
        <v>620</v>
      </c>
      <c r="B129" s="6" t="s">
        <v>163</v>
      </c>
      <c r="C129" s="7" t="s">
        <v>134</v>
      </c>
      <c r="D129" s="10" t="s">
        <v>168</v>
      </c>
      <c r="E129" s="49" t="s">
        <v>169</v>
      </c>
      <c r="F129" s="9" t="s">
        <v>137</v>
      </c>
      <c r="G129" s="5" t="str">
        <f>VLOOKUP(D129,Sheet3!A:C,3,0)</f>
        <v>ZY64</v>
      </c>
    </row>
    <row r="130" spans="1:7" hidden="1" x14ac:dyDescent="0.3">
      <c r="A130" s="6" t="s">
        <v>620</v>
      </c>
      <c r="B130" s="6" t="s">
        <v>163</v>
      </c>
      <c r="C130" s="7" t="s">
        <v>134</v>
      </c>
      <c r="D130" s="10" t="s">
        <v>168</v>
      </c>
      <c r="E130" s="49" t="s">
        <v>169</v>
      </c>
      <c r="F130" s="9" t="s">
        <v>137</v>
      </c>
      <c r="G130" s="5" t="str">
        <f>VLOOKUP(D130,Sheet3!A:C,3,0)</f>
        <v>ZY64</v>
      </c>
    </row>
    <row r="131" spans="1:7" hidden="1" x14ac:dyDescent="0.3">
      <c r="A131" s="6" t="s">
        <v>620</v>
      </c>
      <c r="B131" s="6" t="s">
        <v>163</v>
      </c>
      <c r="C131" s="7" t="s">
        <v>134</v>
      </c>
      <c r="D131" s="10" t="s">
        <v>168</v>
      </c>
      <c r="E131" s="49" t="s">
        <v>169</v>
      </c>
      <c r="F131" s="9" t="s">
        <v>137</v>
      </c>
      <c r="G131" s="5" t="str">
        <f>VLOOKUP(D131,Sheet3!A:C,3,0)</f>
        <v>ZY64</v>
      </c>
    </row>
    <row r="132" spans="1:7" hidden="1" x14ac:dyDescent="0.3">
      <c r="A132" s="6" t="s">
        <v>620</v>
      </c>
      <c r="B132" s="6" t="s">
        <v>163</v>
      </c>
      <c r="C132" s="7" t="s">
        <v>134</v>
      </c>
      <c r="D132" s="10" t="s">
        <v>168</v>
      </c>
      <c r="E132" s="49" t="s">
        <v>169</v>
      </c>
      <c r="F132" s="9" t="s">
        <v>137</v>
      </c>
      <c r="G132" s="5" t="str">
        <f>VLOOKUP(D132,Sheet3!A:C,3,0)</f>
        <v>ZY64</v>
      </c>
    </row>
    <row r="133" spans="1:7" hidden="1" x14ac:dyDescent="0.3">
      <c r="A133" s="6" t="s">
        <v>621</v>
      </c>
      <c r="B133" s="6" t="s">
        <v>170</v>
      </c>
      <c r="C133" s="7" t="s">
        <v>134</v>
      </c>
      <c r="D133" s="10" t="s">
        <v>171</v>
      </c>
      <c r="E133" s="49" t="s">
        <v>172</v>
      </c>
      <c r="F133" s="9" t="s">
        <v>137</v>
      </c>
      <c r="G133" s="5" t="str">
        <f>VLOOKUP(D133,Sheet3!A:C,3,0)</f>
        <v>ZY55</v>
      </c>
    </row>
    <row r="134" spans="1:7" hidden="1" x14ac:dyDescent="0.3">
      <c r="A134" s="6" t="s">
        <v>173</v>
      </c>
      <c r="B134" s="6" t="s">
        <v>174</v>
      </c>
      <c r="C134" s="7" t="s">
        <v>134</v>
      </c>
      <c r="D134" s="7" t="s">
        <v>175</v>
      </c>
      <c r="E134" s="49" t="s">
        <v>175</v>
      </c>
      <c r="F134" s="9" t="s">
        <v>18</v>
      </c>
      <c r="G134" s="5" t="str">
        <f>VLOOKUP(D134,Sheet3!A:C,3,0)</f>
        <v>SA63</v>
      </c>
    </row>
    <row r="135" spans="1:7" hidden="1" x14ac:dyDescent="0.3">
      <c r="A135" s="6" t="s">
        <v>622</v>
      </c>
      <c r="B135" s="6" t="s">
        <v>176</v>
      </c>
      <c r="C135" s="7" t="s">
        <v>177</v>
      </c>
      <c r="D135" s="7" t="s">
        <v>178</v>
      </c>
      <c r="E135" s="49" t="s">
        <v>177</v>
      </c>
      <c r="F135" s="9" t="s">
        <v>18</v>
      </c>
      <c r="G135" s="5" t="str">
        <f>VLOOKUP(D135,Sheet3!A:C,3,0)</f>
        <v>SA64</v>
      </c>
    </row>
    <row r="136" spans="1:7" hidden="1" x14ac:dyDescent="0.3">
      <c r="A136" s="6" t="s">
        <v>179</v>
      </c>
      <c r="B136" s="6" t="s">
        <v>180</v>
      </c>
      <c r="C136" s="7" t="s">
        <v>177</v>
      </c>
      <c r="D136" s="7" t="s">
        <v>181</v>
      </c>
      <c r="E136" s="49" t="s">
        <v>177</v>
      </c>
      <c r="F136" s="9" t="s">
        <v>18</v>
      </c>
      <c r="G136" s="5" t="str">
        <f>VLOOKUP(D136,Sheet3!A:C,3,0)</f>
        <v>SA65</v>
      </c>
    </row>
    <row r="137" spans="1:7" hidden="1" x14ac:dyDescent="0.3">
      <c r="A137" s="6" t="s">
        <v>182</v>
      </c>
      <c r="B137" s="6" t="s">
        <v>183</v>
      </c>
      <c r="C137" s="7" t="s">
        <v>177</v>
      </c>
      <c r="D137" s="7" t="s">
        <v>184</v>
      </c>
      <c r="E137" s="49" t="s">
        <v>177</v>
      </c>
      <c r="F137" s="9" t="s">
        <v>18</v>
      </c>
      <c r="G137" s="5" t="str">
        <f>VLOOKUP(D137,Sheet3!A:C,3,0)</f>
        <v>SA66</v>
      </c>
    </row>
    <row r="138" spans="1:7" hidden="1" x14ac:dyDescent="0.3">
      <c r="A138" s="6" t="s">
        <v>182</v>
      </c>
      <c r="B138" s="6" t="s">
        <v>183</v>
      </c>
      <c r="C138" s="7" t="s">
        <v>177</v>
      </c>
      <c r="D138" s="7" t="s">
        <v>185</v>
      </c>
      <c r="E138" s="49" t="s">
        <v>177</v>
      </c>
      <c r="F138" s="9" t="s">
        <v>18</v>
      </c>
      <c r="G138" s="5" t="str">
        <f>VLOOKUP(D138,Sheet3!A:C,3,0)</f>
        <v>SA67</v>
      </c>
    </row>
    <row r="139" spans="1:7" hidden="1" x14ac:dyDescent="0.3">
      <c r="A139" s="6" t="s">
        <v>182</v>
      </c>
      <c r="B139" s="6" t="s">
        <v>183</v>
      </c>
      <c r="C139" s="7" t="s">
        <v>177</v>
      </c>
      <c r="D139" s="7" t="s">
        <v>186</v>
      </c>
      <c r="E139" s="49" t="s">
        <v>177</v>
      </c>
      <c r="F139" s="9" t="s">
        <v>18</v>
      </c>
      <c r="G139" s="5" t="str">
        <f>VLOOKUP(D139,Sheet3!A:C,3,0)</f>
        <v>SA68</v>
      </c>
    </row>
    <row r="140" spans="1:7" hidden="1" x14ac:dyDescent="0.3">
      <c r="A140" s="6" t="s">
        <v>622</v>
      </c>
      <c r="B140" s="6" t="s">
        <v>176</v>
      </c>
      <c r="C140" s="7" t="s">
        <v>177</v>
      </c>
      <c r="D140" s="7" t="s">
        <v>187</v>
      </c>
      <c r="E140" t="s">
        <v>1308</v>
      </c>
      <c r="F140" s="9" t="s">
        <v>18</v>
      </c>
      <c r="G140" s="5" t="str">
        <f>VLOOKUP(D140,Sheet3!A:C,3,0)</f>
        <v>SA69</v>
      </c>
    </row>
    <row r="141" spans="1:7" hidden="1" x14ac:dyDescent="0.3">
      <c r="A141" s="6" t="s">
        <v>179</v>
      </c>
      <c r="B141" s="6" t="s">
        <v>180</v>
      </c>
      <c r="C141" s="7" t="s">
        <v>177</v>
      </c>
      <c r="D141" s="7" t="s">
        <v>188</v>
      </c>
      <c r="E141" t="s">
        <v>1308</v>
      </c>
      <c r="F141" s="9" t="s">
        <v>18</v>
      </c>
      <c r="G141" s="5" t="str">
        <f>VLOOKUP(D141,Sheet3!A:C,3,0)</f>
        <v>SA70</v>
      </c>
    </row>
    <row r="142" spans="1:7" hidden="1" x14ac:dyDescent="0.3">
      <c r="A142" s="6" t="s">
        <v>182</v>
      </c>
      <c r="B142" s="6" t="s">
        <v>183</v>
      </c>
      <c r="C142" s="7" t="s">
        <v>177</v>
      </c>
      <c r="D142" s="7" t="s">
        <v>189</v>
      </c>
      <c r="E142" t="s">
        <v>1308</v>
      </c>
      <c r="F142" s="9" t="s">
        <v>18</v>
      </c>
      <c r="G142" s="5" t="str">
        <f>VLOOKUP(D142,Sheet3!A:C,3,0)</f>
        <v>SA71</v>
      </c>
    </row>
    <row r="143" spans="1:7" hidden="1" x14ac:dyDescent="0.3">
      <c r="A143" s="6" t="s">
        <v>182</v>
      </c>
      <c r="B143" s="6" t="s">
        <v>183</v>
      </c>
      <c r="C143" s="7" t="s">
        <v>177</v>
      </c>
      <c r="D143" s="7" t="s">
        <v>190</v>
      </c>
      <c r="E143" t="s">
        <v>1308</v>
      </c>
      <c r="F143" s="9" t="s">
        <v>18</v>
      </c>
      <c r="G143" s="5" t="str">
        <f>VLOOKUP(D143,Sheet3!A:C,3,0)</f>
        <v>SA72</v>
      </c>
    </row>
    <row r="144" spans="1:7" hidden="1" x14ac:dyDescent="0.3">
      <c r="A144" s="6" t="s">
        <v>182</v>
      </c>
      <c r="B144" s="6" t="s">
        <v>183</v>
      </c>
      <c r="C144" s="7" t="s">
        <v>177</v>
      </c>
      <c r="D144" s="7" t="s">
        <v>191</v>
      </c>
      <c r="E144" t="s">
        <v>1308</v>
      </c>
      <c r="F144" s="9" t="s">
        <v>18</v>
      </c>
      <c r="G144" s="5" t="str">
        <f>VLOOKUP(D144,Sheet3!A:C,3,0)</f>
        <v>SA73</v>
      </c>
    </row>
    <row r="145" spans="1:7" hidden="1" x14ac:dyDescent="0.3">
      <c r="A145" s="6" t="s">
        <v>192</v>
      </c>
      <c r="B145" s="6" t="s">
        <v>193</v>
      </c>
      <c r="C145" s="7" t="s">
        <v>177</v>
      </c>
      <c r="D145" s="7" t="s">
        <v>194</v>
      </c>
      <c r="E145" s="49" t="s">
        <v>177</v>
      </c>
      <c r="F145" s="9" t="s">
        <v>18</v>
      </c>
      <c r="G145" s="5" t="str">
        <f>VLOOKUP(D145,Sheet3!A:C,3,0)</f>
        <v>SA74</v>
      </c>
    </row>
    <row r="146" spans="1:7" hidden="1" x14ac:dyDescent="0.3">
      <c r="A146" s="6" t="s">
        <v>192</v>
      </c>
      <c r="B146" s="6" t="s">
        <v>193</v>
      </c>
      <c r="C146" s="7" t="s">
        <v>177</v>
      </c>
      <c r="D146" s="7" t="s">
        <v>195</v>
      </c>
      <c r="E146" s="49" t="s">
        <v>177</v>
      </c>
      <c r="F146" s="9" t="s">
        <v>18</v>
      </c>
      <c r="G146" s="5" t="str">
        <f>VLOOKUP(D146,Sheet3!A:C,3,0)</f>
        <v>SA75</v>
      </c>
    </row>
    <row r="147" spans="1:7" hidden="1" x14ac:dyDescent="0.3">
      <c r="A147" s="6" t="s">
        <v>192</v>
      </c>
      <c r="B147" s="6" t="s">
        <v>193</v>
      </c>
      <c r="C147" s="7" t="s">
        <v>177</v>
      </c>
      <c r="D147" s="7" t="s">
        <v>196</v>
      </c>
      <c r="E147" s="49" t="s">
        <v>177</v>
      </c>
      <c r="F147" s="9" t="s">
        <v>18</v>
      </c>
      <c r="G147" s="5" t="s">
        <v>940</v>
      </c>
    </row>
    <row r="148" spans="1:7" hidden="1" x14ac:dyDescent="0.3">
      <c r="A148" s="6" t="s">
        <v>197</v>
      </c>
      <c r="B148" s="6" t="s">
        <v>198</v>
      </c>
      <c r="C148" s="7" t="s">
        <v>134</v>
      </c>
      <c r="D148" s="7" t="s">
        <v>199</v>
      </c>
      <c r="E148" s="49" t="s">
        <v>200</v>
      </c>
      <c r="F148" s="9" t="s">
        <v>18</v>
      </c>
      <c r="G148" s="5" t="str">
        <f>VLOOKUP(D148,Sheet3!A:C,3,0)</f>
        <v>SA77</v>
      </c>
    </row>
    <row r="149" spans="1:7" hidden="1" x14ac:dyDescent="0.3">
      <c r="A149" s="6" t="s">
        <v>201</v>
      </c>
      <c r="B149" s="6" t="s">
        <v>202</v>
      </c>
      <c r="C149" s="7" t="s">
        <v>134</v>
      </c>
      <c r="D149" s="7" t="s">
        <v>203</v>
      </c>
      <c r="E149" s="49" t="s">
        <v>200</v>
      </c>
      <c r="F149" s="9" t="s">
        <v>18</v>
      </c>
      <c r="G149" s="5" t="str">
        <f>VLOOKUP(D149,Sheet3!A:C,3,0)</f>
        <v>SA78</v>
      </c>
    </row>
    <row r="150" spans="1:7" hidden="1" x14ac:dyDescent="0.3">
      <c r="A150" s="6" t="s">
        <v>204</v>
      </c>
      <c r="B150" s="6" t="s">
        <v>205</v>
      </c>
      <c r="C150" s="7" t="s">
        <v>134</v>
      </c>
      <c r="D150" s="7" t="s">
        <v>206</v>
      </c>
      <c r="E150" s="49" t="s">
        <v>200</v>
      </c>
      <c r="F150" s="9" t="s">
        <v>18</v>
      </c>
      <c r="G150" s="5" t="str">
        <f>VLOOKUP(D150,Sheet3!A:C,3,0)</f>
        <v>SA79</v>
      </c>
    </row>
    <row r="151" spans="1:7" hidden="1" x14ac:dyDescent="0.3">
      <c r="A151" s="6" t="s">
        <v>207</v>
      </c>
      <c r="B151" s="6" t="s">
        <v>208</v>
      </c>
      <c r="C151" s="7" t="s">
        <v>134</v>
      </c>
      <c r="D151" s="7" t="s">
        <v>209</v>
      </c>
      <c r="E151" s="49" t="s">
        <v>200</v>
      </c>
      <c r="F151" s="9" t="s">
        <v>18</v>
      </c>
      <c r="G151" s="5" t="str">
        <f>VLOOKUP(D151,Sheet3!A:C,3,0)</f>
        <v>SA80</v>
      </c>
    </row>
    <row r="152" spans="1:7" hidden="1" x14ac:dyDescent="0.3">
      <c r="A152" s="6" t="s">
        <v>210</v>
      </c>
      <c r="B152" s="6" t="s">
        <v>211</v>
      </c>
      <c r="C152" s="7" t="s">
        <v>134</v>
      </c>
      <c r="D152" s="7" t="s">
        <v>212</v>
      </c>
      <c r="E152" s="49" t="s">
        <v>200</v>
      </c>
      <c r="F152" s="9" t="s">
        <v>18</v>
      </c>
      <c r="G152" s="5" t="str">
        <f>VLOOKUP(D152,Sheet3!A:C,3,0)</f>
        <v>SA81</v>
      </c>
    </row>
    <row r="153" spans="1:7" hidden="1" x14ac:dyDescent="0.3">
      <c r="A153" s="6" t="s">
        <v>213</v>
      </c>
      <c r="B153" s="6" t="s">
        <v>214</v>
      </c>
      <c r="C153" s="7" t="s">
        <v>134</v>
      </c>
      <c r="D153" s="7" t="s">
        <v>215</v>
      </c>
      <c r="E153" s="49" t="s">
        <v>200</v>
      </c>
      <c r="F153" s="9" t="s">
        <v>18</v>
      </c>
      <c r="G153" s="5" t="str">
        <f>VLOOKUP(D153,Sheet3!A:C,3,0)</f>
        <v>SA82</v>
      </c>
    </row>
    <row r="154" spans="1:7" hidden="1" x14ac:dyDescent="0.3">
      <c r="A154" s="6" t="s">
        <v>216</v>
      </c>
      <c r="B154" s="6" t="s">
        <v>217</v>
      </c>
      <c r="C154" s="7" t="s">
        <v>134</v>
      </c>
      <c r="D154" s="7" t="s">
        <v>218</v>
      </c>
      <c r="E154" s="49" t="s">
        <v>200</v>
      </c>
      <c r="F154" s="9" t="s">
        <v>18</v>
      </c>
      <c r="G154" s="5" t="str">
        <f>VLOOKUP(D154,Sheet3!A:C,3,0)</f>
        <v>SA83</v>
      </c>
    </row>
    <row r="155" spans="1:7" hidden="1" x14ac:dyDescent="0.3">
      <c r="A155" s="6" t="s">
        <v>623</v>
      </c>
      <c r="B155" s="6" t="s">
        <v>219</v>
      </c>
      <c r="C155" s="7" t="s">
        <v>134</v>
      </c>
      <c r="D155" s="7" t="s">
        <v>220</v>
      </c>
      <c r="E155" s="49" t="s">
        <v>200</v>
      </c>
      <c r="F155" s="9" t="s">
        <v>18</v>
      </c>
      <c r="G155" s="5" t="str">
        <f>VLOOKUP(D155,Sheet3!A:C,3,0)</f>
        <v>SA84</v>
      </c>
    </row>
    <row r="156" spans="1:7" hidden="1" x14ac:dyDescent="0.3">
      <c r="A156" s="6" t="s">
        <v>221</v>
      </c>
      <c r="B156" s="6" t="s">
        <v>222</v>
      </c>
      <c r="C156" s="7" t="s">
        <v>134</v>
      </c>
      <c r="D156" s="7" t="s">
        <v>223</v>
      </c>
      <c r="E156" s="49" t="s">
        <v>200</v>
      </c>
      <c r="F156" s="9" t="s">
        <v>18</v>
      </c>
      <c r="G156" s="5" t="str">
        <f>VLOOKUP(D156,Sheet3!A:C,3,0)</f>
        <v>SA85</v>
      </c>
    </row>
    <row r="157" spans="1:7" hidden="1" x14ac:dyDescent="0.3">
      <c r="A157" s="6" t="s">
        <v>224</v>
      </c>
      <c r="B157" s="6" t="s">
        <v>225</v>
      </c>
      <c r="C157" s="7" t="s">
        <v>134</v>
      </c>
      <c r="D157" s="7" t="s">
        <v>226</v>
      </c>
      <c r="E157" s="49" t="s">
        <v>226</v>
      </c>
      <c r="F157" s="9" t="s">
        <v>137</v>
      </c>
      <c r="G157" s="5" t="str">
        <f>VLOOKUP(D157,Sheet3!A:C,3,0)</f>
        <v>SA86</v>
      </c>
    </row>
    <row r="158" spans="1:7" hidden="1" x14ac:dyDescent="0.3">
      <c r="A158" s="6" t="s">
        <v>227</v>
      </c>
      <c r="B158" s="6" t="s">
        <v>228</v>
      </c>
      <c r="C158" s="7" t="s">
        <v>134</v>
      </c>
      <c r="D158" s="7" t="s">
        <v>229</v>
      </c>
      <c r="E158" s="49" t="s">
        <v>229</v>
      </c>
      <c r="F158" s="9" t="s">
        <v>18</v>
      </c>
      <c r="G158" s="5" t="str">
        <f>VLOOKUP(D158,Sheet3!A:C,3,0)</f>
        <v>SA87</v>
      </c>
    </row>
    <row r="159" spans="1:7" hidden="1" x14ac:dyDescent="0.3">
      <c r="A159" s="6" t="s">
        <v>230</v>
      </c>
      <c r="B159" s="6" t="s">
        <v>231</v>
      </c>
      <c r="C159" s="7" t="s">
        <v>134</v>
      </c>
      <c r="D159" s="7" t="s">
        <v>232</v>
      </c>
      <c r="E159" s="49" t="s">
        <v>233</v>
      </c>
      <c r="F159" s="9" t="s">
        <v>18</v>
      </c>
      <c r="G159" s="5" t="str">
        <f>VLOOKUP(D159,Sheet3!A:C,3,0)</f>
        <v>SA88</v>
      </c>
    </row>
    <row r="160" spans="1:7" hidden="1" x14ac:dyDescent="0.3">
      <c r="A160" s="6" t="s">
        <v>230</v>
      </c>
      <c r="B160" s="6" t="s">
        <v>231</v>
      </c>
      <c r="C160" s="7" t="s">
        <v>134</v>
      </c>
      <c r="D160" s="7" t="s">
        <v>234</v>
      </c>
      <c r="E160" s="49" t="s">
        <v>233</v>
      </c>
      <c r="F160" s="9" t="s">
        <v>18</v>
      </c>
      <c r="G160" s="5" t="str">
        <f>VLOOKUP(D160,Sheet3!A:C,3,0)</f>
        <v>SA89</v>
      </c>
    </row>
    <row r="161" spans="1:7" hidden="1" x14ac:dyDescent="0.3">
      <c r="A161" s="6" t="s">
        <v>230</v>
      </c>
      <c r="B161" s="6" t="s">
        <v>231</v>
      </c>
      <c r="C161" s="7" t="s">
        <v>134</v>
      </c>
      <c r="D161" s="7" t="s">
        <v>235</v>
      </c>
      <c r="E161" s="49" t="s">
        <v>233</v>
      </c>
      <c r="F161" s="9" t="s">
        <v>18</v>
      </c>
      <c r="G161" s="5" t="str">
        <f>VLOOKUP(D161,Sheet3!A:C,3,0)</f>
        <v>SA90</v>
      </c>
    </row>
    <row r="162" spans="1:7" hidden="1" x14ac:dyDescent="0.3">
      <c r="A162" s="6" t="s">
        <v>230</v>
      </c>
      <c r="B162" s="6" t="s">
        <v>231</v>
      </c>
      <c r="C162" s="7" t="s">
        <v>134</v>
      </c>
      <c r="D162" s="7" t="s">
        <v>236</v>
      </c>
      <c r="E162" s="49" t="s">
        <v>233</v>
      </c>
      <c r="F162" s="9" t="s">
        <v>18</v>
      </c>
      <c r="G162" s="5" t="str">
        <f>VLOOKUP(D162,Sheet3!A:C,3,0)</f>
        <v>SA91</v>
      </c>
    </row>
    <row r="163" spans="1:7" hidden="1" x14ac:dyDescent="0.3">
      <c r="A163" s="6" t="s">
        <v>230</v>
      </c>
      <c r="B163" s="6" t="s">
        <v>231</v>
      </c>
      <c r="C163" s="7" t="s">
        <v>134</v>
      </c>
      <c r="D163" s="7" t="s">
        <v>237</v>
      </c>
      <c r="E163" s="49" t="s">
        <v>233</v>
      </c>
      <c r="F163" s="9" t="s">
        <v>18</v>
      </c>
      <c r="G163" s="5" t="str">
        <f>VLOOKUP(D163,Sheet3!A:C,3,0)</f>
        <v>SA92</v>
      </c>
    </row>
    <row r="164" spans="1:7" hidden="1" x14ac:dyDescent="0.3">
      <c r="A164" s="6" t="s">
        <v>230</v>
      </c>
      <c r="B164" s="6" t="s">
        <v>231</v>
      </c>
      <c r="C164" s="7" t="s">
        <v>134</v>
      </c>
      <c r="D164" s="7" t="s">
        <v>238</v>
      </c>
      <c r="E164" s="49" t="s">
        <v>233</v>
      </c>
      <c r="F164" s="9" t="s">
        <v>18</v>
      </c>
      <c r="G164" s="5" t="str">
        <f>VLOOKUP(D164,Sheet3!A:C,3,0)</f>
        <v>SA93</v>
      </c>
    </row>
    <row r="165" spans="1:7" hidden="1" x14ac:dyDescent="0.3">
      <c r="A165" s="6" t="s">
        <v>230</v>
      </c>
      <c r="B165" s="6" t="s">
        <v>231</v>
      </c>
      <c r="C165" s="7" t="s">
        <v>134</v>
      </c>
      <c r="D165" s="7" t="s">
        <v>239</v>
      </c>
      <c r="E165" s="49" t="s">
        <v>233</v>
      </c>
      <c r="F165" s="9" t="s">
        <v>18</v>
      </c>
      <c r="G165" s="5" t="str">
        <f>VLOOKUP(D165,Sheet3!A:C,3,0)</f>
        <v>SA94</v>
      </c>
    </row>
    <row r="166" spans="1:7" hidden="1" x14ac:dyDescent="0.3">
      <c r="A166" s="6" t="s">
        <v>230</v>
      </c>
      <c r="B166" s="6" t="s">
        <v>231</v>
      </c>
      <c r="C166" s="7" t="s">
        <v>134</v>
      </c>
      <c r="D166" s="7" t="s">
        <v>240</v>
      </c>
      <c r="E166" s="49" t="s">
        <v>233</v>
      </c>
      <c r="F166" s="9" t="s">
        <v>18</v>
      </c>
      <c r="G166" s="5" t="str">
        <f>VLOOKUP(D166,Sheet3!A:C,3,0)</f>
        <v>SA95</v>
      </c>
    </row>
    <row r="167" spans="1:7" hidden="1" x14ac:dyDescent="0.3">
      <c r="A167" s="6" t="s">
        <v>230</v>
      </c>
      <c r="B167" s="6" t="s">
        <v>231</v>
      </c>
      <c r="C167" s="7" t="s">
        <v>134</v>
      </c>
      <c r="D167" s="7" t="s">
        <v>241</v>
      </c>
      <c r="E167" s="49" t="s">
        <v>233</v>
      </c>
      <c r="F167" s="9" t="s">
        <v>18</v>
      </c>
      <c r="G167" s="5" t="str">
        <f>VLOOKUP(D167,Sheet3!A:C,3,0)</f>
        <v>SA96</v>
      </c>
    </row>
    <row r="168" spans="1:7" hidden="1" x14ac:dyDescent="0.3">
      <c r="A168" s="6" t="s">
        <v>230</v>
      </c>
      <c r="B168" s="6" t="s">
        <v>231</v>
      </c>
      <c r="C168" s="7" t="s">
        <v>134</v>
      </c>
      <c r="D168" s="7" t="s">
        <v>242</v>
      </c>
      <c r="E168" s="49" t="s">
        <v>233</v>
      </c>
      <c r="F168" s="9" t="s">
        <v>18</v>
      </c>
      <c r="G168" s="5" t="str">
        <f>VLOOKUP(D168,Sheet3!A:C,3,0)</f>
        <v>SA97</v>
      </c>
    </row>
    <row r="169" spans="1:7" hidden="1" x14ac:dyDescent="0.3">
      <c r="A169" s="6" t="s">
        <v>230</v>
      </c>
      <c r="B169" s="6" t="s">
        <v>231</v>
      </c>
      <c r="C169" s="7" t="s">
        <v>89</v>
      </c>
      <c r="D169" s="7" t="s">
        <v>243</v>
      </c>
      <c r="E169" s="49" t="s">
        <v>91</v>
      </c>
      <c r="F169" s="9" t="s">
        <v>11</v>
      </c>
      <c r="G169" s="5" t="str">
        <f>VLOOKUP(D169,Sheet3!A:C,3,0)</f>
        <v>SA98</v>
      </c>
    </row>
    <row r="170" spans="1:7" hidden="1" x14ac:dyDescent="0.3">
      <c r="A170" s="6" t="s">
        <v>624</v>
      </c>
      <c r="B170" s="6" t="s">
        <v>244</v>
      </c>
      <c r="C170" s="7" t="s">
        <v>134</v>
      </c>
      <c r="D170" s="7" t="s">
        <v>245</v>
      </c>
      <c r="E170" s="49" t="s">
        <v>245</v>
      </c>
      <c r="F170" s="9" t="s">
        <v>137</v>
      </c>
      <c r="G170" s="5" t="str">
        <f>VLOOKUP(D170,Sheet3!A:C,3,0)</f>
        <v>SA99</v>
      </c>
    </row>
    <row r="171" spans="1:7" hidden="1" x14ac:dyDescent="0.3">
      <c r="A171" s="6" t="s">
        <v>624</v>
      </c>
      <c r="B171" s="6" t="s">
        <v>244</v>
      </c>
      <c r="C171" s="7" t="s">
        <v>134</v>
      </c>
      <c r="D171" s="7" t="s">
        <v>245</v>
      </c>
      <c r="E171" s="49" t="s">
        <v>245</v>
      </c>
      <c r="F171" s="9" t="s">
        <v>137</v>
      </c>
      <c r="G171" s="5" t="str">
        <f>VLOOKUP(D171,Sheet3!A:C,3,0)</f>
        <v>SA99</v>
      </c>
    </row>
    <row r="172" spans="1:7" hidden="1" x14ac:dyDescent="0.3">
      <c r="A172" s="6" t="s">
        <v>624</v>
      </c>
      <c r="B172" s="6" t="s">
        <v>244</v>
      </c>
      <c r="C172" s="7" t="s">
        <v>134</v>
      </c>
      <c r="D172" s="7" t="s">
        <v>245</v>
      </c>
      <c r="E172" s="49" t="s">
        <v>245</v>
      </c>
      <c r="F172" s="9" t="s">
        <v>137</v>
      </c>
      <c r="G172" s="5" t="str">
        <f>VLOOKUP(D172,Sheet3!A:C,3,0)</f>
        <v>SA99</v>
      </c>
    </row>
    <row r="173" spans="1:7" hidden="1" x14ac:dyDescent="0.3">
      <c r="A173" s="6" t="s">
        <v>624</v>
      </c>
      <c r="B173" s="6" t="s">
        <v>244</v>
      </c>
      <c r="C173" s="7" t="s">
        <v>134</v>
      </c>
      <c r="D173" s="7" t="s">
        <v>245</v>
      </c>
      <c r="E173" s="49" t="s">
        <v>245</v>
      </c>
      <c r="F173" s="9" t="s">
        <v>137</v>
      </c>
      <c r="G173" s="5" t="str">
        <f>VLOOKUP(D173,Sheet3!A:C,3,0)</f>
        <v>SA99</v>
      </c>
    </row>
    <row r="174" spans="1:7" hidden="1" x14ac:dyDescent="0.3">
      <c r="A174" s="6" t="s">
        <v>246</v>
      </c>
      <c r="B174" s="6" t="s">
        <v>247</v>
      </c>
      <c r="C174" s="7" t="s">
        <v>134</v>
      </c>
      <c r="D174" s="10" t="s">
        <v>248</v>
      </c>
      <c r="E174" s="49" t="s">
        <v>248</v>
      </c>
      <c r="F174" s="9" t="s">
        <v>249</v>
      </c>
      <c r="G174" s="5" t="str">
        <f>VLOOKUP(D174,Sheet3!A:C,3,0)</f>
        <v>SA103</v>
      </c>
    </row>
    <row r="175" spans="1:7" hidden="1" x14ac:dyDescent="0.3">
      <c r="A175" s="6" t="s">
        <v>250</v>
      </c>
      <c r="B175" s="6" t="s">
        <v>251</v>
      </c>
      <c r="C175" s="7" t="s">
        <v>134</v>
      </c>
      <c r="D175" s="10" t="s">
        <v>252</v>
      </c>
      <c r="E175" s="52" t="s">
        <v>253</v>
      </c>
      <c r="F175" s="9" t="s">
        <v>18</v>
      </c>
      <c r="G175" s="5" t="str">
        <f>VLOOKUP(D175,Sheet3!A:C,3,0)</f>
        <v>ZY76</v>
      </c>
    </row>
    <row r="176" spans="1:7" hidden="1" x14ac:dyDescent="0.3">
      <c r="A176" s="6" t="s">
        <v>250</v>
      </c>
      <c r="B176" s="6" t="s">
        <v>251</v>
      </c>
      <c r="C176" s="7" t="s">
        <v>134</v>
      </c>
      <c r="D176" s="10" t="s">
        <v>254</v>
      </c>
      <c r="E176" s="52" t="s">
        <v>253</v>
      </c>
      <c r="F176" s="9" t="s">
        <v>18</v>
      </c>
      <c r="G176" s="5" t="str">
        <f>VLOOKUP(D176,Sheet3!A:C,3,0)</f>
        <v>ZY73</v>
      </c>
    </row>
    <row r="177" spans="1:7" hidden="1" x14ac:dyDescent="0.3">
      <c r="A177" s="6" t="s">
        <v>250</v>
      </c>
      <c r="B177" s="6" t="s">
        <v>251</v>
      </c>
      <c r="C177" s="7" t="s">
        <v>134</v>
      </c>
      <c r="D177" s="10" t="s">
        <v>255</v>
      </c>
      <c r="E177" s="52" t="s">
        <v>253</v>
      </c>
      <c r="F177" s="9" t="s">
        <v>18</v>
      </c>
      <c r="G177" s="5" t="str">
        <f>VLOOKUP(D177,Sheet3!A:C,3,0)</f>
        <v>ZY77</v>
      </c>
    </row>
    <row r="178" spans="1:7" hidden="1" x14ac:dyDescent="0.3">
      <c r="A178" s="6" t="s">
        <v>250</v>
      </c>
      <c r="B178" s="6" t="s">
        <v>251</v>
      </c>
      <c r="C178" s="7" t="s">
        <v>134</v>
      </c>
      <c r="D178" s="10" t="s">
        <v>256</v>
      </c>
      <c r="E178" s="52" t="s">
        <v>253</v>
      </c>
      <c r="F178" s="9" t="s">
        <v>18</v>
      </c>
      <c r="G178" s="5" t="str">
        <f>VLOOKUP(D178,Sheet3!A:C,3,0)</f>
        <v>ZY74</v>
      </c>
    </row>
    <row r="179" spans="1:7" hidden="1" x14ac:dyDescent="0.3">
      <c r="A179" s="6" t="s">
        <v>250</v>
      </c>
      <c r="B179" s="6" t="s">
        <v>251</v>
      </c>
      <c r="C179" s="7" t="s">
        <v>134</v>
      </c>
      <c r="D179" s="7" t="s">
        <v>257</v>
      </c>
      <c r="E179" s="52" t="s">
        <v>253</v>
      </c>
      <c r="F179" s="9" t="s">
        <v>18</v>
      </c>
      <c r="G179" s="5" t="str">
        <f>VLOOKUP(D179,Sheet3!A:C,3,0)</f>
        <v>ZY78</v>
      </c>
    </row>
    <row r="180" spans="1:7" hidden="1" x14ac:dyDescent="0.3">
      <c r="A180" s="6" t="s">
        <v>250</v>
      </c>
      <c r="B180" s="6" t="s">
        <v>251</v>
      </c>
      <c r="C180" s="7" t="s">
        <v>134</v>
      </c>
      <c r="D180" s="10" t="s">
        <v>258</v>
      </c>
      <c r="E180" s="52" t="s">
        <v>253</v>
      </c>
      <c r="F180" s="9" t="s">
        <v>18</v>
      </c>
      <c r="G180" s="5" t="str">
        <f>VLOOKUP(D180,Sheet3!A:C,3,0)</f>
        <v>ZY75</v>
      </c>
    </row>
    <row r="181" spans="1:7" hidden="1" x14ac:dyDescent="0.3">
      <c r="A181" s="6" t="s">
        <v>250</v>
      </c>
      <c r="B181" s="6" t="s">
        <v>251</v>
      </c>
      <c r="C181" s="7" t="s">
        <v>134</v>
      </c>
      <c r="D181" s="10" t="s">
        <v>259</v>
      </c>
      <c r="E181" s="52" t="s">
        <v>253</v>
      </c>
      <c r="F181" s="9" t="s">
        <v>18</v>
      </c>
      <c r="G181" s="5" t="str">
        <f>VLOOKUP(D181,Sheet3!A:C,3,0)</f>
        <v>ZY79</v>
      </c>
    </row>
    <row r="182" spans="1:7" hidden="1" x14ac:dyDescent="0.3">
      <c r="A182" s="6" t="s">
        <v>250</v>
      </c>
      <c r="B182" s="6" t="s">
        <v>251</v>
      </c>
      <c r="C182" s="7" t="s">
        <v>134</v>
      </c>
      <c r="D182" s="7" t="s">
        <v>260</v>
      </c>
      <c r="E182" s="52" t="s">
        <v>253</v>
      </c>
      <c r="F182" s="9" t="s">
        <v>18</v>
      </c>
      <c r="G182" s="5" t="str">
        <f>VLOOKUP(D182,Sheet3!A:C,3,0)</f>
        <v>ZY80</v>
      </c>
    </row>
    <row r="183" spans="1:7" hidden="1" x14ac:dyDescent="0.3">
      <c r="A183" s="6" t="s">
        <v>250</v>
      </c>
      <c r="B183" s="6" t="s">
        <v>251</v>
      </c>
      <c r="C183" s="7" t="s">
        <v>134</v>
      </c>
      <c r="D183" s="7" t="s">
        <v>261</v>
      </c>
      <c r="E183" s="52" t="s">
        <v>253</v>
      </c>
      <c r="F183" s="9" t="s">
        <v>18</v>
      </c>
      <c r="G183" s="5" t="str">
        <f>VLOOKUP(D183,Sheet3!A:C,3,0)</f>
        <v>ZY81</v>
      </c>
    </row>
    <row r="184" spans="1:7" hidden="1" x14ac:dyDescent="0.3">
      <c r="A184" s="6" t="s">
        <v>250</v>
      </c>
      <c r="B184" s="6" t="s">
        <v>251</v>
      </c>
      <c r="C184" s="7" t="s">
        <v>134</v>
      </c>
      <c r="D184" s="7" t="s">
        <v>262</v>
      </c>
      <c r="E184" s="52" t="s">
        <v>253</v>
      </c>
      <c r="F184" s="9" t="s">
        <v>18</v>
      </c>
      <c r="G184" s="5" t="str">
        <f>VLOOKUP(D184,Sheet3!A:C,3,0)</f>
        <v>ZY82</v>
      </c>
    </row>
    <row r="185" spans="1:7" hidden="1" x14ac:dyDescent="0.3">
      <c r="A185" s="6" t="s">
        <v>250</v>
      </c>
      <c r="B185" s="6" t="s">
        <v>251</v>
      </c>
      <c r="C185" s="7" t="s">
        <v>134</v>
      </c>
      <c r="D185" s="7" t="s">
        <v>263</v>
      </c>
      <c r="E185" s="52" t="s">
        <v>264</v>
      </c>
      <c r="F185" s="9" t="s">
        <v>18</v>
      </c>
      <c r="G185" s="5" t="str">
        <f>VLOOKUP(D185,Sheet3!A:C,3,0)</f>
        <v>ZY57</v>
      </c>
    </row>
    <row r="186" spans="1:7" hidden="1" x14ac:dyDescent="0.3">
      <c r="A186" s="6" t="s">
        <v>250</v>
      </c>
      <c r="B186" s="6" t="s">
        <v>251</v>
      </c>
      <c r="C186" s="7" t="s">
        <v>134</v>
      </c>
      <c r="D186" s="7" t="s">
        <v>265</v>
      </c>
      <c r="E186" s="52" t="s">
        <v>264</v>
      </c>
      <c r="F186" s="9" t="s">
        <v>18</v>
      </c>
      <c r="G186" s="5" t="str">
        <f>VLOOKUP(D186,Sheet3!A:C,3,0)</f>
        <v>ZY83</v>
      </c>
    </row>
    <row r="187" spans="1:7" hidden="1" x14ac:dyDescent="0.3">
      <c r="A187" s="6" t="s">
        <v>625</v>
      </c>
      <c r="B187" s="6" t="s">
        <v>266</v>
      </c>
      <c r="C187" s="7" t="s">
        <v>267</v>
      </c>
      <c r="D187" s="10" t="s">
        <v>268</v>
      </c>
      <c r="E187" s="49" t="s">
        <v>269</v>
      </c>
      <c r="F187" s="9" t="s">
        <v>249</v>
      </c>
      <c r="G187" s="5" t="str">
        <f>VLOOKUP(D187,Sheet3!A:C,3,0)</f>
        <v>ZY122</v>
      </c>
    </row>
    <row r="188" spans="1:7" hidden="1" x14ac:dyDescent="0.3">
      <c r="A188" s="6" t="s">
        <v>270</v>
      </c>
      <c r="B188" s="6" t="s">
        <v>271</v>
      </c>
      <c r="C188" s="7" t="s">
        <v>267</v>
      </c>
      <c r="D188" s="10" t="s">
        <v>272</v>
      </c>
      <c r="E188" s="49" t="s">
        <v>269</v>
      </c>
      <c r="F188" s="9" t="s">
        <v>249</v>
      </c>
      <c r="G188" s="5" t="str">
        <f>VLOOKUP(D188,Sheet3!A:C,3,0)</f>
        <v>ZY123</v>
      </c>
    </row>
    <row r="189" spans="1:7" hidden="1" x14ac:dyDescent="0.3">
      <c r="A189" s="6" t="s">
        <v>273</v>
      </c>
      <c r="B189" s="6" t="s">
        <v>274</v>
      </c>
      <c r="C189" s="7" t="s">
        <v>21</v>
      </c>
      <c r="D189" s="7" t="s">
        <v>275</v>
      </c>
      <c r="E189" s="52" t="s">
        <v>276</v>
      </c>
      <c r="F189" s="9" t="s">
        <v>18</v>
      </c>
      <c r="G189" s="5" t="str">
        <f>VLOOKUP(D189,Sheet3!A:C,3,0)</f>
        <v>ZY124</v>
      </c>
    </row>
    <row r="190" spans="1:7" hidden="1" x14ac:dyDescent="0.3">
      <c r="A190" s="6" t="s">
        <v>277</v>
      </c>
      <c r="B190" s="6" t="s">
        <v>278</v>
      </c>
      <c r="C190" s="7" t="s">
        <v>267</v>
      </c>
      <c r="D190" s="7" t="s">
        <v>279</v>
      </c>
      <c r="E190" s="52" t="s">
        <v>276</v>
      </c>
      <c r="F190" s="9" t="s">
        <v>18</v>
      </c>
      <c r="G190" s="5" t="str">
        <f>VLOOKUP(D190,Sheet3!A:C,3,0)</f>
        <v>SA104</v>
      </c>
    </row>
    <row r="191" spans="1:7" hidden="1" x14ac:dyDescent="0.3">
      <c r="A191" s="6" t="s">
        <v>277</v>
      </c>
      <c r="B191" s="6" t="s">
        <v>278</v>
      </c>
      <c r="C191" s="7" t="s">
        <v>267</v>
      </c>
      <c r="D191" s="7" t="s">
        <v>280</v>
      </c>
      <c r="E191" s="52" t="s">
        <v>276</v>
      </c>
      <c r="F191" s="9" t="s">
        <v>18</v>
      </c>
      <c r="G191" s="5" t="str">
        <f>VLOOKUP(D191,Sheet3!A:C,3,0)</f>
        <v>SA105</v>
      </c>
    </row>
    <row r="192" spans="1:7" hidden="1" x14ac:dyDescent="0.3">
      <c r="A192" s="6" t="s">
        <v>281</v>
      </c>
      <c r="B192" s="6" t="s">
        <v>282</v>
      </c>
      <c r="C192" s="7" t="s">
        <v>267</v>
      </c>
      <c r="D192" s="7" t="s">
        <v>283</v>
      </c>
      <c r="E192" s="52" t="s">
        <v>276</v>
      </c>
      <c r="F192" s="9" t="s">
        <v>18</v>
      </c>
      <c r="G192" s="5" t="str">
        <f>VLOOKUP(D192,Sheet3!A:C,3,0)</f>
        <v>SA106</v>
      </c>
    </row>
    <row r="193" spans="1:7" hidden="1" x14ac:dyDescent="0.3">
      <c r="A193" s="6" t="s">
        <v>281</v>
      </c>
      <c r="B193" s="6" t="s">
        <v>282</v>
      </c>
      <c r="C193" s="7" t="s">
        <v>267</v>
      </c>
      <c r="D193" s="7" t="s">
        <v>284</v>
      </c>
      <c r="E193" s="52" t="s">
        <v>276</v>
      </c>
      <c r="F193" s="9" t="s">
        <v>18</v>
      </c>
      <c r="G193" s="5" t="str">
        <f>VLOOKUP(D193,Sheet3!A:C,3,0)</f>
        <v>SA107</v>
      </c>
    </row>
    <row r="194" spans="1:7" hidden="1" x14ac:dyDescent="0.3">
      <c r="A194" s="6" t="s">
        <v>281</v>
      </c>
      <c r="B194" s="6" t="s">
        <v>282</v>
      </c>
      <c r="C194" s="7" t="s">
        <v>267</v>
      </c>
      <c r="D194" s="7" t="s">
        <v>284</v>
      </c>
      <c r="E194" s="52" t="s">
        <v>276</v>
      </c>
      <c r="F194" s="9" t="s">
        <v>18</v>
      </c>
      <c r="G194" s="5" t="str">
        <f>VLOOKUP(D194,Sheet3!A:C,3,0)</f>
        <v>SA107</v>
      </c>
    </row>
    <row r="195" spans="1:7" hidden="1" x14ac:dyDescent="0.3">
      <c r="A195" s="6" t="s">
        <v>281</v>
      </c>
      <c r="B195" s="6" t="s">
        <v>282</v>
      </c>
      <c r="C195" s="7" t="s">
        <v>267</v>
      </c>
      <c r="D195" s="7" t="s">
        <v>284</v>
      </c>
      <c r="E195" s="52" t="s">
        <v>276</v>
      </c>
      <c r="F195" s="9" t="s">
        <v>18</v>
      </c>
      <c r="G195" s="5" t="str">
        <f>VLOOKUP(D195,Sheet3!A:C,3,0)</f>
        <v>SA107</v>
      </c>
    </row>
    <row r="196" spans="1:7" hidden="1" x14ac:dyDescent="0.3">
      <c r="A196" s="6" t="s">
        <v>285</v>
      </c>
      <c r="B196" s="6" t="s">
        <v>286</v>
      </c>
      <c r="C196" s="7" t="s">
        <v>267</v>
      </c>
      <c r="D196" s="7" t="s">
        <v>287</v>
      </c>
      <c r="E196" s="52" t="s">
        <v>276</v>
      </c>
      <c r="F196" s="9" t="s">
        <v>18</v>
      </c>
      <c r="G196" s="5" t="str">
        <f>VLOOKUP(D196,Sheet3!A:C,3,0)</f>
        <v>SA108</v>
      </c>
    </row>
    <row r="197" spans="1:7" hidden="1" x14ac:dyDescent="0.3">
      <c r="A197" s="6" t="s">
        <v>285</v>
      </c>
      <c r="B197" s="6" t="s">
        <v>286</v>
      </c>
      <c r="C197" s="7" t="s">
        <v>267</v>
      </c>
      <c r="D197" s="7" t="s">
        <v>288</v>
      </c>
      <c r="E197" s="52" t="s">
        <v>276</v>
      </c>
      <c r="F197" s="9" t="s">
        <v>18</v>
      </c>
      <c r="G197" s="5" t="str">
        <f>VLOOKUP(D197,Sheet3!A:C,3,0)</f>
        <v>SA109</v>
      </c>
    </row>
    <row r="198" spans="1:7" hidden="1" x14ac:dyDescent="0.3">
      <c r="A198" s="6" t="s">
        <v>626</v>
      </c>
      <c r="B198" s="6" t="s">
        <v>289</v>
      </c>
      <c r="C198" s="7" t="s">
        <v>267</v>
      </c>
      <c r="D198" s="10" t="s">
        <v>290</v>
      </c>
      <c r="E198" s="49" t="s">
        <v>290</v>
      </c>
      <c r="F198" s="9" t="s">
        <v>249</v>
      </c>
      <c r="G198" s="5" t="str">
        <f>VLOOKUP(D198,Sheet3!A:C,3,0)</f>
        <v>ZY10</v>
      </c>
    </row>
    <row r="199" spans="1:7" hidden="1" x14ac:dyDescent="0.3">
      <c r="A199" s="6" t="s">
        <v>291</v>
      </c>
      <c r="B199" s="6" t="s">
        <v>292</v>
      </c>
      <c r="C199" s="7" t="s">
        <v>267</v>
      </c>
      <c r="D199" s="7" t="s">
        <v>293</v>
      </c>
      <c r="E199" s="49" t="s">
        <v>294</v>
      </c>
      <c r="F199" s="9" t="s">
        <v>125</v>
      </c>
      <c r="G199" s="5" t="str">
        <f>VLOOKUP(D199,Sheet3!A:C,3,0)</f>
        <v>SA110</v>
      </c>
    </row>
    <row r="200" spans="1:7" hidden="1" x14ac:dyDescent="0.3">
      <c r="A200" s="6" t="s">
        <v>291</v>
      </c>
      <c r="B200" s="6" t="s">
        <v>292</v>
      </c>
      <c r="C200" s="7" t="s">
        <v>267</v>
      </c>
      <c r="D200" s="7" t="s">
        <v>295</v>
      </c>
      <c r="E200" s="52" t="s">
        <v>276</v>
      </c>
      <c r="F200" s="9" t="s">
        <v>18</v>
      </c>
      <c r="G200" s="5" t="str">
        <f>VLOOKUP(D200,Sheet3!A:C,3,0)</f>
        <v>SA111</v>
      </c>
    </row>
    <row r="201" spans="1:7" hidden="1" x14ac:dyDescent="0.3">
      <c r="A201" s="6" t="s">
        <v>291</v>
      </c>
      <c r="B201" s="6" t="s">
        <v>292</v>
      </c>
      <c r="C201" s="7" t="s">
        <v>267</v>
      </c>
      <c r="D201" s="7" t="s">
        <v>296</v>
      </c>
      <c r="E201" s="52" t="s">
        <v>276</v>
      </c>
      <c r="F201" s="9" t="s">
        <v>18</v>
      </c>
      <c r="G201" s="5" t="str">
        <f>VLOOKUP(D201,Sheet3!A:C,3,0)</f>
        <v>SA112</v>
      </c>
    </row>
    <row r="202" spans="1:7" hidden="1" x14ac:dyDescent="0.3">
      <c r="A202" s="6" t="s">
        <v>291</v>
      </c>
      <c r="B202" s="6" t="s">
        <v>292</v>
      </c>
      <c r="C202" s="7" t="s">
        <v>267</v>
      </c>
      <c r="D202" s="7" t="s">
        <v>297</v>
      </c>
      <c r="E202" s="49" t="s">
        <v>298</v>
      </c>
      <c r="F202" s="9" t="s">
        <v>299</v>
      </c>
      <c r="G202" s="5" t="str">
        <f>VLOOKUP(D202,Sheet3!A:C,3,0)</f>
        <v>SA113</v>
      </c>
    </row>
    <row r="203" spans="1:7" hidden="1" x14ac:dyDescent="0.3">
      <c r="A203" s="6" t="s">
        <v>291</v>
      </c>
      <c r="B203" s="6" t="s">
        <v>292</v>
      </c>
      <c r="C203" s="7" t="s">
        <v>267</v>
      </c>
      <c r="D203" s="7" t="s">
        <v>300</v>
      </c>
      <c r="E203" s="49" t="s">
        <v>301</v>
      </c>
      <c r="F203" s="9" t="s">
        <v>302</v>
      </c>
      <c r="G203" s="5" t="str">
        <f>VLOOKUP(D203,Sheet3!A:C,3,0)</f>
        <v>SA114</v>
      </c>
    </row>
    <row r="204" spans="1:7" hidden="1" x14ac:dyDescent="0.3">
      <c r="A204" s="6" t="s">
        <v>291</v>
      </c>
      <c r="B204" s="6" t="s">
        <v>292</v>
      </c>
      <c r="C204" s="7" t="s">
        <v>267</v>
      </c>
      <c r="D204" s="7" t="s">
        <v>303</v>
      </c>
      <c r="E204" s="49" t="s">
        <v>304</v>
      </c>
      <c r="F204" s="9" t="s">
        <v>302</v>
      </c>
      <c r="G204" s="5" t="str">
        <f>VLOOKUP(D204,Sheet3!A:C,3,0)</f>
        <v>SA115</v>
      </c>
    </row>
    <row r="205" spans="1:7" hidden="1" x14ac:dyDescent="0.3">
      <c r="A205" s="11" t="s">
        <v>291</v>
      </c>
      <c r="B205" s="11" t="s">
        <v>292</v>
      </c>
      <c r="C205" s="10" t="s">
        <v>267</v>
      </c>
      <c r="D205" s="10" t="s">
        <v>305</v>
      </c>
      <c r="E205" s="49" t="s">
        <v>306</v>
      </c>
      <c r="F205" s="9" t="s">
        <v>68</v>
      </c>
      <c r="G205" s="5" t="str">
        <f>VLOOKUP(D205,Sheet3!A:C,3,0)</f>
        <v>ZY121</v>
      </c>
    </row>
    <row r="206" spans="1:7" hidden="1" x14ac:dyDescent="0.3">
      <c r="A206" s="6" t="s">
        <v>291</v>
      </c>
      <c r="B206" s="6" t="s">
        <v>292</v>
      </c>
      <c r="C206" s="7" t="s">
        <v>267</v>
      </c>
      <c r="D206" s="7" t="s">
        <v>307</v>
      </c>
      <c r="E206" s="49" t="s">
        <v>298</v>
      </c>
      <c r="F206" s="9" t="s">
        <v>299</v>
      </c>
      <c r="G206" s="5" t="str">
        <f>VLOOKUP(D206,Sheet3!A:C,3,0)</f>
        <v>SA116</v>
      </c>
    </row>
    <row r="207" spans="1:7" hidden="1" x14ac:dyDescent="0.3">
      <c r="A207" s="6" t="s">
        <v>314</v>
      </c>
      <c r="B207" s="6" t="s">
        <v>308</v>
      </c>
      <c r="C207" s="7" t="s">
        <v>267</v>
      </c>
      <c r="D207" s="7" t="s">
        <v>309</v>
      </c>
      <c r="E207" s="52" t="s">
        <v>276</v>
      </c>
      <c r="F207" s="9" t="s">
        <v>18</v>
      </c>
      <c r="G207" s="5" t="str">
        <f>VLOOKUP(D207,Sheet3!A:C,3,0)</f>
        <v>SA117</v>
      </c>
    </row>
    <row r="208" spans="1:7" hidden="1" x14ac:dyDescent="0.3">
      <c r="A208" s="6" t="s">
        <v>314</v>
      </c>
      <c r="B208" s="6" t="s">
        <v>308</v>
      </c>
      <c r="C208" s="7" t="s">
        <v>267</v>
      </c>
      <c r="D208" s="7" t="s">
        <v>310</v>
      </c>
      <c r="E208" s="52" t="s">
        <v>276</v>
      </c>
      <c r="F208" s="9" t="s">
        <v>18</v>
      </c>
      <c r="G208" s="5" t="str">
        <f>VLOOKUP(D208,Sheet3!A:C,3,0)</f>
        <v>ZY130</v>
      </c>
    </row>
    <row r="209" spans="1:7" hidden="1" x14ac:dyDescent="0.3">
      <c r="A209" s="6" t="s">
        <v>314</v>
      </c>
      <c r="B209" s="6" t="s">
        <v>308</v>
      </c>
      <c r="C209" s="7" t="s">
        <v>267</v>
      </c>
      <c r="D209" s="7" t="s">
        <v>311</v>
      </c>
      <c r="E209" s="53" t="s">
        <v>312</v>
      </c>
      <c r="F209" s="25" t="s">
        <v>313</v>
      </c>
      <c r="G209" s="5" t="str">
        <f>VLOOKUP(D209,Sheet3!A:C,3,0)</f>
        <v>SA118</v>
      </c>
    </row>
    <row r="210" spans="1:7" hidden="1" x14ac:dyDescent="0.3">
      <c r="A210" s="11" t="s">
        <v>314</v>
      </c>
      <c r="B210" s="11" t="s">
        <v>308</v>
      </c>
      <c r="C210" s="10" t="s">
        <v>267</v>
      </c>
      <c r="D210" s="10" t="s">
        <v>315</v>
      </c>
      <c r="E210" s="49" t="s">
        <v>306</v>
      </c>
      <c r="F210" s="9" t="s">
        <v>68</v>
      </c>
      <c r="G210" s="5" t="str">
        <f>VLOOKUP(D210,Sheet3!A:C,3,0)</f>
        <v>ZY118</v>
      </c>
    </row>
    <row r="211" spans="1:7" hidden="1" x14ac:dyDescent="0.3">
      <c r="A211" s="6" t="s">
        <v>316</v>
      </c>
      <c r="B211" s="6" t="s">
        <v>317</v>
      </c>
      <c r="C211" s="7" t="s">
        <v>267</v>
      </c>
      <c r="D211" s="7" t="s">
        <v>318</v>
      </c>
      <c r="E211" s="12" t="s">
        <v>318</v>
      </c>
      <c r="F211" s="9" t="s">
        <v>302</v>
      </c>
      <c r="G211" s="5" t="str">
        <f>VLOOKUP(D211,Sheet3!A:C,3,0)</f>
        <v>SA119</v>
      </c>
    </row>
    <row r="212" spans="1:7" hidden="1" x14ac:dyDescent="0.3">
      <c r="A212" s="6" t="s">
        <v>316</v>
      </c>
      <c r="B212" s="6" t="s">
        <v>317</v>
      </c>
      <c r="C212" s="7" t="s">
        <v>267</v>
      </c>
      <c r="D212" s="7" t="s">
        <v>319</v>
      </c>
      <c r="E212" s="12" t="s">
        <v>319</v>
      </c>
      <c r="F212" s="9" t="s">
        <v>299</v>
      </c>
      <c r="G212" s="5" t="str">
        <f>VLOOKUP(D212,Sheet3!A:C,3,0)</f>
        <v>SA120</v>
      </c>
    </row>
    <row r="213" spans="1:7" hidden="1" x14ac:dyDescent="0.3">
      <c r="A213" s="6" t="s">
        <v>627</v>
      </c>
      <c r="B213" s="6" t="s">
        <v>320</v>
      </c>
      <c r="C213" s="7" t="s">
        <v>267</v>
      </c>
      <c r="D213" s="7" t="s">
        <v>321</v>
      </c>
      <c r="E213" s="52" t="s">
        <v>276</v>
      </c>
      <c r="F213" s="9" t="s">
        <v>18</v>
      </c>
      <c r="G213" s="5" t="str">
        <f>VLOOKUP(D213,Sheet3!A:C,3,0)</f>
        <v>ZY125</v>
      </c>
    </row>
    <row r="214" spans="1:7" hidden="1" x14ac:dyDescent="0.3">
      <c r="A214" s="6" t="s">
        <v>322</v>
      </c>
      <c r="B214" s="6" t="s">
        <v>323</v>
      </c>
      <c r="C214" s="7" t="s">
        <v>267</v>
      </c>
      <c r="D214" s="10" t="s">
        <v>324</v>
      </c>
      <c r="E214" s="49" t="s">
        <v>325</v>
      </c>
      <c r="F214" s="9" t="s">
        <v>313</v>
      </c>
      <c r="G214" s="5" t="str">
        <f>VLOOKUP(D214,Sheet3!A:C,3,0)</f>
        <v>ZY126</v>
      </c>
    </row>
    <row r="215" spans="1:7" hidden="1" x14ac:dyDescent="0.3">
      <c r="A215" s="6" t="s">
        <v>628</v>
      </c>
      <c r="B215" s="6" t="s">
        <v>326</v>
      </c>
      <c r="C215" s="7" t="s">
        <v>267</v>
      </c>
      <c r="D215" s="10" t="s">
        <v>327</v>
      </c>
      <c r="E215" s="52" t="s">
        <v>276</v>
      </c>
      <c r="F215" s="9" t="s">
        <v>18</v>
      </c>
      <c r="G215" s="5" t="str">
        <f>VLOOKUP(D215,Sheet3!A:C,3,0)</f>
        <v>ZY127</v>
      </c>
    </row>
    <row r="216" spans="1:7" hidden="1" x14ac:dyDescent="0.3">
      <c r="A216" s="6" t="s">
        <v>328</v>
      </c>
      <c r="B216" s="6" t="s">
        <v>329</v>
      </c>
      <c r="C216" s="7" t="s">
        <v>267</v>
      </c>
      <c r="D216" s="7" t="s">
        <v>330</v>
      </c>
      <c r="E216" s="49" t="s">
        <v>331</v>
      </c>
      <c r="F216" s="9" t="s">
        <v>302</v>
      </c>
      <c r="G216" s="5" t="str">
        <f>VLOOKUP(D216,Sheet3!A:C,3,0)</f>
        <v>ZY128</v>
      </c>
    </row>
    <row r="217" spans="1:7" hidden="1" x14ac:dyDescent="0.3">
      <c r="A217" s="6" t="s">
        <v>328</v>
      </c>
      <c r="B217" s="6" t="s">
        <v>329</v>
      </c>
      <c r="C217" s="7" t="s">
        <v>267</v>
      </c>
      <c r="D217" s="7" t="s">
        <v>332</v>
      </c>
      <c r="E217" s="52" t="s">
        <v>276</v>
      </c>
      <c r="F217" s="9" t="s">
        <v>18</v>
      </c>
      <c r="G217" s="5" t="str">
        <f>VLOOKUP(D217,Sheet3!A:C,3,0)</f>
        <v>ZY129</v>
      </c>
    </row>
    <row r="218" spans="1:7" hidden="1" x14ac:dyDescent="0.3">
      <c r="A218" s="6" t="s">
        <v>328</v>
      </c>
      <c r="B218" s="6" t="s">
        <v>329</v>
      </c>
      <c r="C218" s="7" t="s">
        <v>267</v>
      </c>
      <c r="D218" s="7" t="s">
        <v>333</v>
      </c>
      <c r="E218" s="52" t="s">
        <v>276</v>
      </c>
      <c r="F218" s="9" t="s">
        <v>18</v>
      </c>
      <c r="G218" s="5" t="str">
        <f>VLOOKUP(D218,Sheet3!A:C,3,0)</f>
        <v>SA121</v>
      </c>
    </row>
    <row r="219" spans="1:7" hidden="1" x14ac:dyDescent="0.3">
      <c r="A219" s="6" t="s">
        <v>328</v>
      </c>
      <c r="B219" s="6" t="s">
        <v>329</v>
      </c>
      <c r="C219" s="7" t="s">
        <v>267</v>
      </c>
      <c r="D219" s="7" t="s">
        <v>334</v>
      </c>
      <c r="E219" s="52" t="s">
        <v>276</v>
      </c>
      <c r="F219" s="9" t="s">
        <v>18</v>
      </c>
      <c r="G219" s="5" t="str">
        <f>VLOOKUP(D219,Sheet3!A:C,3,0)</f>
        <v>SA183</v>
      </c>
    </row>
    <row r="220" spans="1:7" hidden="1" x14ac:dyDescent="0.3">
      <c r="A220" s="6" t="s">
        <v>328</v>
      </c>
      <c r="B220" s="6" t="s">
        <v>329</v>
      </c>
      <c r="C220" s="7" t="s">
        <v>267</v>
      </c>
      <c r="D220" s="7" t="s">
        <v>335</v>
      </c>
      <c r="E220" s="52" t="s">
        <v>276</v>
      </c>
      <c r="F220" s="9" t="s">
        <v>18</v>
      </c>
      <c r="G220" s="5" t="str">
        <f>VLOOKUP(D220,Sheet3!A:C,3,0)</f>
        <v>SA184</v>
      </c>
    </row>
    <row r="221" spans="1:7" hidden="1" x14ac:dyDescent="0.3">
      <c r="A221" s="6" t="s">
        <v>328</v>
      </c>
      <c r="B221" s="6" t="s">
        <v>329</v>
      </c>
      <c r="C221" s="7" t="s">
        <v>267</v>
      </c>
      <c r="D221" s="7" t="s">
        <v>336</v>
      </c>
      <c r="E221" s="52" t="s">
        <v>276</v>
      </c>
      <c r="F221" s="9" t="s">
        <v>18</v>
      </c>
      <c r="G221" s="5" t="str">
        <f>VLOOKUP(D221,Sheet3!A:C,3,0)</f>
        <v>SA185</v>
      </c>
    </row>
    <row r="222" spans="1:7" x14ac:dyDescent="0.3">
      <c r="A222" s="6" t="s">
        <v>328</v>
      </c>
      <c r="B222" s="6" t="s">
        <v>329</v>
      </c>
      <c r="C222" s="7" t="s">
        <v>267</v>
      </c>
      <c r="D222" s="7" t="s">
        <v>337</v>
      </c>
      <c r="E222" s="52" t="s">
        <v>276</v>
      </c>
      <c r="F222" s="9" t="s">
        <v>18</v>
      </c>
      <c r="G222" s="5" t="str">
        <f>VLOOKUP(D222,Sheet3!A:C,3,0)</f>
        <v>SA186</v>
      </c>
    </row>
    <row r="223" spans="1:7" hidden="1" x14ac:dyDescent="0.3">
      <c r="A223" s="6" t="s">
        <v>338</v>
      </c>
      <c r="B223" s="6" t="s">
        <v>339</v>
      </c>
      <c r="C223" s="7" t="s">
        <v>267</v>
      </c>
      <c r="D223" s="7" t="s">
        <v>340</v>
      </c>
      <c r="E223" s="49" t="s">
        <v>341</v>
      </c>
      <c r="F223" s="9" t="s">
        <v>302</v>
      </c>
      <c r="G223" s="5" t="str">
        <f>VLOOKUP(D223,Sheet3!A:C,3,0)</f>
        <v>ZY132</v>
      </c>
    </row>
    <row r="224" spans="1:7" hidden="1" x14ac:dyDescent="0.3">
      <c r="A224" s="6" t="s">
        <v>342</v>
      </c>
      <c r="B224" s="6" t="s">
        <v>343</v>
      </c>
      <c r="C224" s="7" t="s">
        <v>267</v>
      </c>
      <c r="D224" s="7" t="s">
        <v>344</v>
      </c>
      <c r="E224" s="49" t="s">
        <v>344</v>
      </c>
      <c r="F224" s="9" t="s">
        <v>302</v>
      </c>
      <c r="G224" s="5" t="str">
        <f>VLOOKUP(D224,Sheet3!A:C,3,0)</f>
        <v>SA122</v>
      </c>
    </row>
    <row r="225" spans="1:7" hidden="1" x14ac:dyDescent="0.3">
      <c r="A225" s="11" t="s">
        <v>345</v>
      </c>
      <c r="B225" s="11" t="s">
        <v>346</v>
      </c>
      <c r="C225" s="10" t="s">
        <v>267</v>
      </c>
      <c r="D225" s="10" t="s">
        <v>347</v>
      </c>
      <c r="E225" s="49" t="s">
        <v>348</v>
      </c>
      <c r="F225" s="9" t="s">
        <v>68</v>
      </c>
      <c r="G225" s="5" t="str">
        <f>VLOOKUP(D225,Sheet3!A:C,3,0)</f>
        <v>ZY108</v>
      </c>
    </row>
    <row r="226" spans="1:7" hidden="1" x14ac:dyDescent="0.3">
      <c r="A226" s="11" t="s">
        <v>345</v>
      </c>
      <c r="B226" s="11" t="s">
        <v>346</v>
      </c>
      <c r="C226" s="10" t="s">
        <v>267</v>
      </c>
      <c r="D226" s="10" t="s">
        <v>349</v>
      </c>
      <c r="E226" s="49" t="s">
        <v>348</v>
      </c>
      <c r="F226" s="9" t="s">
        <v>68</v>
      </c>
      <c r="G226" s="5" t="str">
        <f>VLOOKUP(D226,Sheet3!A:C,3,0)</f>
        <v>ZY06</v>
      </c>
    </row>
    <row r="227" spans="1:7" hidden="1" x14ac:dyDescent="0.3">
      <c r="A227" s="11" t="s">
        <v>345</v>
      </c>
      <c r="B227" s="11" t="s">
        <v>346</v>
      </c>
      <c r="C227" s="10" t="s">
        <v>267</v>
      </c>
      <c r="D227" s="10" t="s">
        <v>350</v>
      </c>
      <c r="E227" s="49" t="s">
        <v>348</v>
      </c>
      <c r="F227" s="9" t="s">
        <v>68</v>
      </c>
      <c r="G227" s="5" t="str">
        <f>VLOOKUP(D227,Sheet3!A:C,3,0)</f>
        <v>ZY07</v>
      </c>
    </row>
    <row r="228" spans="1:7" hidden="1" x14ac:dyDescent="0.3">
      <c r="A228" s="11" t="s">
        <v>345</v>
      </c>
      <c r="B228" s="11" t="s">
        <v>346</v>
      </c>
      <c r="C228" s="10" t="s">
        <v>267</v>
      </c>
      <c r="D228" s="7" t="s">
        <v>351</v>
      </c>
      <c r="E228" s="49" t="s">
        <v>352</v>
      </c>
      <c r="F228" s="9" t="s">
        <v>353</v>
      </c>
      <c r="G228" s="5" t="str">
        <f>VLOOKUP(D228,Sheet3!A:C,3,0)</f>
        <v>ZY109</v>
      </c>
    </row>
    <row r="229" spans="1:7" hidden="1" x14ac:dyDescent="0.3">
      <c r="A229" s="11" t="s">
        <v>345</v>
      </c>
      <c r="B229" s="11" t="s">
        <v>346</v>
      </c>
      <c r="C229" s="10" t="s">
        <v>267</v>
      </c>
      <c r="D229" s="10" t="s">
        <v>354</v>
      </c>
      <c r="E229" s="49" t="s">
        <v>348</v>
      </c>
      <c r="F229" s="9" t="s">
        <v>68</v>
      </c>
      <c r="G229" s="5" t="str">
        <f>VLOOKUP(D229,Sheet3!A:C,3,0)</f>
        <v>ZY110</v>
      </c>
    </row>
    <row r="230" spans="1:7" hidden="1" x14ac:dyDescent="0.3">
      <c r="A230" s="11" t="s">
        <v>345</v>
      </c>
      <c r="B230" s="11" t="s">
        <v>346</v>
      </c>
      <c r="C230" s="10" t="s">
        <v>267</v>
      </c>
      <c r="D230" s="10" t="s">
        <v>355</v>
      </c>
      <c r="E230" s="52" t="s">
        <v>276</v>
      </c>
      <c r="F230" s="9" t="s">
        <v>18</v>
      </c>
      <c r="G230" s="5" t="str">
        <f>VLOOKUP(D230,Sheet3!A:C,3,0)</f>
        <v>ZY111</v>
      </c>
    </row>
    <row r="231" spans="1:7" hidden="1" x14ac:dyDescent="0.3">
      <c r="A231" s="11" t="s">
        <v>345</v>
      </c>
      <c r="B231" s="11" t="s">
        <v>346</v>
      </c>
      <c r="C231" s="10" t="s">
        <v>267</v>
      </c>
      <c r="D231" s="10" t="s">
        <v>356</v>
      </c>
      <c r="E231" s="49" t="s">
        <v>357</v>
      </c>
      <c r="F231" s="9" t="s">
        <v>249</v>
      </c>
      <c r="G231" s="5" t="str">
        <f>VLOOKUP(D231,Sheet3!A:C,3,0)</f>
        <v>ZY112</v>
      </c>
    </row>
    <row r="232" spans="1:7" hidden="1" x14ac:dyDescent="0.3">
      <c r="A232" s="11" t="s">
        <v>345</v>
      </c>
      <c r="B232" s="11" t="s">
        <v>346</v>
      </c>
      <c r="C232" s="10" t="s">
        <v>267</v>
      </c>
      <c r="D232" s="7" t="s">
        <v>358</v>
      </c>
      <c r="E232" s="49" t="s">
        <v>357</v>
      </c>
      <c r="F232" s="9" t="s">
        <v>249</v>
      </c>
      <c r="G232" s="5" t="str">
        <f>VLOOKUP(D232,Sheet3!A:C,3,0)</f>
        <v>SA123</v>
      </c>
    </row>
    <row r="233" spans="1:7" hidden="1" x14ac:dyDescent="0.3">
      <c r="A233" s="11" t="s">
        <v>345</v>
      </c>
      <c r="B233" s="11" t="s">
        <v>346</v>
      </c>
      <c r="C233" s="10" t="s">
        <v>267</v>
      </c>
      <c r="D233" s="7" t="s">
        <v>359</v>
      </c>
      <c r="E233" s="52" t="s">
        <v>360</v>
      </c>
      <c r="F233" s="9" t="s">
        <v>18</v>
      </c>
      <c r="G233" s="5" t="str">
        <f>VLOOKUP(D233,Sheet3!A:C,3,0)</f>
        <v>ZY113</v>
      </c>
    </row>
    <row r="234" spans="1:7" hidden="1" x14ac:dyDescent="0.3">
      <c r="A234" s="6" t="s">
        <v>361</v>
      </c>
      <c r="B234" s="6" t="s">
        <v>362</v>
      </c>
      <c r="C234" s="7" t="s">
        <v>267</v>
      </c>
      <c r="D234" s="10" t="s">
        <v>363</v>
      </c>
      <c r="E234" s="52" t="s">
        <v>360</v>
      </c>
      <c r="F234" s="9" t="s">
        <v>18</v>
      </c>
      <c r="G234" s="5" t="str">
        <f>VLOOKUP(D234,Sheet3!A:C,3,0)</f>
        <v>ZY60</v>
      </c>
    </row>
    <row r="235" spans="1:7" hidden="1" x14ac:dyDescent="0.3">
      <c r="A235" s="6" t="s">
        <v>364</v>
      </c>
      <c r="B235" s="11" t="s">
        <v>365</v>
      </c>
      <c r="C235" s="10" t="s">
        <v>267</v>
      </c>
      <c r="D235" s="10" t="s">
        <v>366</v>
      </c>
      <c r="E235" s="49" t="s">
        <v>366</v>
      </c>
      <c r="F235" s="9" t="s">
        <v>367</v>
      </c>
      <c r="G235" s="5" t="str">
        <f>VLOOKUP(D235,Sheet3!A:C,3,0)</f>
        <v>SA124</v>
      </c>
    </row>
    <row r="236" spans="1:7" hidden="1" x14ac:dyDescent="0.3">
      <c r="A236" s="6" t="s">
        <v>368</v>
      </c>
      <c r="B236" s="6" t="s">
        <v>369</v>
      </c>
      <c r="C236" s="7" t="s">
        <v>267</v>
      </c>
      <c r="D236" s="7" t="s">
        <v>370</v>
      </c>
      <c r="E236" s="49" t="s">
        <v>370</v>
      </c>
      <c r="F236" s="9" t="s">
        <v>371</v>
      </c>
      <c r="G236" s="5" t="str">
        <f>VLOOKUP(D236,Sheet3!A:C,3,0)</f>
        <v>SA125</v>
      </c>
    </row>
    <row r="237" spans="1:7" hidden="1" x14ac:dyDescent="0.3">
      <c r="A237" s="6" t="s">
        <v>372</v>
      </c>
      <c r="B237" s="6" t="s">
        <v>373</v>
      </c>
      <c r="C237" s="7" t="s">
        <v>21</v>
      </c>
      <c r="D237" s="10" t="s">
        <v>374</v>
      </c>
      <c r="E237" s="52" t="s">
        <v>276</v>
      </c>
      <c r="F237" s="9" t="s">
        <v>18</v>
      </c>
      <c r="G237" s="5" t="str">
        <f>VLOOKUP(D237,Sheet3!A:C,3,0)</f>
        <v>SA126</v>
      </c>
    </row>
    <row r="238" spans="1:7" hidden="1" x14ac:dyDescent="0.3">
      <c r="A238" s="6" t="s">
        <v>372</v>
      </c>
      <c r="B238" s="6" t="s">
        <v>373</v>
      </c>
      <c r="C238" s="7" t="s">
        <v>21</v>
      </c>
      <c r="D238" s="10" t="s">
        <v>375</v>
      </c>
      <c r="E238" s="49" t="s">
        <v>376</v>
      </c>
      <c r="F238" s="9" t="s">
        <v>137</v>
      </c>
      <c r="G238" s="5" t="str">
        <f>VLOOKUP(D238,Sheet3!A:C,3,0)</f>
        <v>SA127</v>
      </c>
    </row>
    <row r="239" spans="1:7" hidden="1" x14ac:dyDescent="0.3">
      <c r="A239" s="6" t="s">
        <v>372</v>
      </c>
      <c r="B239" s="6" t="s">
        <v>373</v>
      </c>
      <c r="C239" s="7" t="s">
        <v>21</v>
      </c>
      <c r="D239" s="10" t="s">
        <v>377</v>
      </c>
      <c r="E239" s="49" t="s">
        <v>376</v>
      </c>
      <c r="F239" s="9" t="s">
        <v>137</v>
      </c>
      <c r="G239" s="5" t="str">
        <f>VLOOKUP(D239,Sheet3!A:C,3,0)</f>
        <v>SA128</v>
      </c>
    </row>
    <row r="240" spans="1:7" hidden="1" x14ac:dyDescent="0.3">
      <c r="A240" s="6" t="s">
        <v>372</v>
      </c>
      <c r="B240" s="6" t="s">
        <v>373</v>
      </c>
      <c r="C240" s="10" t="s">
        <v>21</v>
      </c>
      <c r="D240" s="10" t="s">
        <v>378</v>
      </c>
      <c r="E240" s="49" t="s">
        <v>379</v>
      </c>
      <c r="F240" s="9" t="s">
        <v>249</v>
      </c>
      <c r="G240" s="5" t="str">
        <f>VLOOKUP(D240,Sheet3!A:C,3,0)</f>
        <v>SA129</v>
      </c>
    </row>
    <row r="241" spans="1:7" hidden="1" x14ac:dyDescent="0.3">
      <c r="A241" s="6" t="s">
        <v>372</v>
      </c>
      <c r="B241" s="6" t="s">
        <v>373</v>
      </c>
      <c r="C241" s="10" t="s">
        <v>21</v>
      </c>
      <c r="D241" s="10" t="s">
        <v>380</v>
      </c>
      <c r="E241" s="49" t="s">
        <v>381</v>
      </c>
      <c r="F241" s="9" t="s">
        <v>249</v>
      </c>
      <c r="G241" s="5" t="str">
        <f>VLOOKUP(D241,Sheet3!A:C,3,0)</f>
        <v>SA130</v>
      </c>
    </row>
    <row r="242" spans="1:7" hidden="1" x14ac:dyDescent="0.3">
      <c r="A242" s="6" t="s">
        <v>372</v>
      </c>
      <c r="B242" s="6" t="s">
        <v>373</v>
      </c>
      <c r="C242" s="10" t="s">
        <v>21</v>
      </c>
      <c r="D242" s="10" t="s">
        <v>382</v>
      </c>
      <c r="E242" s="54" t="s">
        <v>383</v>
      </c>
      <c r="F242" s="9" t="s">
        <v>249</v>
      </c>
      <c r="G242" s="5" t="str">
        <f>VLOOKUP(D242,Sheet3!A:C,3,0)</f>
        <v>SA131</v>
      </c>
    </row>
    <row r="243" spans="1:7" hidden="1" x14ac:dyDescent="0.3">
      <c r="A243" s="6" t="s">
        <v>372</v>
      </c>
      <c r="B243" s="6" t="s">
        <v>373</v>
      </c>
      <c r="C243" s="7" t="s">
        <v>21</v>
      </c>
      <c r="D243" s="7" t="s">
        <v>384</v>
      </c>
      <c r="E243" s="49" t="s">
        <v>385</v>
      </c>
      <c r="F243" s="9" t="s">
        <v>386</v>
      </c>
      <c r="G243" s="5" t="str">
        <f>VLOOKUP(D243,Sheet3!A:C,3,0)</f>
        <v>SA132</v>
      </c>
    </row>
    <row r="244" spans="1:7" hidden="1" x14ac:dyDescent="0.3">
      <c r="A244" s="6" t="s">
        <v>387</v>
      </c>
      <c r="B244" s="6" t="s">
        <v>388</v>
      </c>
      <c r="C244" s="7" t="s">
        <v>267</v>
      </c>
      <c r="D244" s="10" t="s">
        <v>389</v>
      </c>
      <c r="E244" s="49" t="s">
        <v>389</v>
      </c>
      <c r="F244" s="9" t="s">
        <v>593</v>
      </c>
      <c r="G244" s="5" t="str">
        <f>VLOOKUP(D244,Sheet3!A:C,3,0)</f>
        <v>ZY114</v>
      </c>
    </row>
    <row r="245" spans="1:7" hidden="1" x14ac:dyDescent="0.3">
      <c r="A245" s="6" t="s">
        <v>390</v>
      </c>
      <c r="B245" s="6" t="s">
        <v>391</v>
      </c>
      <c r="C245" s="7" t="s">
        <v>267</v>
      </c>
      <c r="D245" s="10" t="s">
        <v>392</v>
      </c>
      <c r="E245" s="55" t="s">
        <v>393</v>
      </c>
      <c r="F245" s="9"/>
      <c r="G245" s="5" t="str">
        <f>VLOOKUP(D245,Sheet3!A:C,3,0)</f>
        <v>ZY115</v>
      </c>
    </row>
    <row r="246" spans="1:7" hidden="1" x14ac:dyDescent="0.3">
      <c r="A246" s="6" t="s">
        <v>390</v>
      </c>
      <c r="B246" s="6" t="s">
        <v>391</v>
      </c>
      <c r="C246" s="7" t="s">
        <v>267</v>
      </c>
      <c r="D246" s="10" t="s">
        <v>394</v>
      </c>
      <c r="E246" s="55" t="s">
        <v>395</v>
      </c>
      <c r="F246" s="9"/>
      <c r="G246" s="5" t="str">
        <f>VLOOKUP(D246,Sheet3!A:C,3,0)</f>
        <v>ZY116</v>
      </c>
    </row>
    <row r="247" spans="1:7" hidden="1" x14ac:dyDescent="0.3">
      <c r="A247" s="6" t="s">
        <v>396</v>
      </c>
      <c r="B247" s="6" t="s">
        <v>397</v>
      </c>
      <c r="C247" s="7" t="s">
        <v>267</v>
      </c>
      <c r="D247" s="10" t="s">
        <v>398</v>
      </c>
      <c r="E247" s="49" t="s">
        <v>398</v>
      </c>
      <c r="F247" s="9" t="s">
        <v>302</v>
      </c>
      <c r="G247" s="5" t="str">
        <f>VLOOKUP(D247,Sheet3!A:C,3,0)</f>
        <v>ZY119</v>
      </c>
    </row>
    <row r="248" spans="1:7" hidden="1" x14ac:dyDescent="0.3">
      <c r="A248" s="6" t="s">
        <v>399</v>
      </c>
      <c r="B248" s="6" t="s">
        <v>400</v>
      </c>
      <c r="C248" s="7" t="s">
        <v>267</v>
      </c>
      <c r="D248" s="7" t="s">
        <v>401</v>
      </c>
      <c r="E248" s="49" t="s">
        <v>401</v>
      </c>
      <c r="F248" s="9" t="s">
        <v>302</v>
      </c>
      <c r="G248" s="5" t="str">
        <f>VLOOKUP(D248,Sheet3!A:C,3,0)</f>
        <v>SA133</v>
      </c>
    </row>
    <row r="249" spans="1:7" hidden="1" x14ac:dyDescent="0.3">
      <c r="A249" s="6" t="s">
        <v>629</v>
      </c>
      <c r="B249" s="6" t="s">
        <v>402</v>
      </c>
      <c r="C249" s="7" t="s">
        <v>267</v>
      </c>
      <c r="D249" s="10" t="s">
        <v>403</v>
      </c>
      <c r="E249" s="49" t="s">
        <v>404</v>
      </c>
      <c r="F249" s="9" t="s">
        <v>249</v>
      </c>
      <c r="G249" s="5" t="str">
        <f>VLOOKUP(D249,Sheet3!A:C,3,0)</f>
        <v>ZY131</v>
      </c>
    </row>
    <row r="250" spans="1:7" hidden="1" x14ac:dyDescent="0.3">
      <c r="A250" s="6" t="s">
        <v>630</v>
      </c>
      <c r="B250" s="6" t="s">
        <v>405</v>
      </c>
      <c r="C250" s="7" t="s">
        <v>27</v>
      </c>
      <c r="D250" s="7" t="s">
        <v>406</v>
      </c>
      <c r="E250" s="52" t="s">
        <v>276</v>
      </c>
      <c r="F250" s="9" t="s">
        <v>18</v>
      </c>
      <c r="G250" s="5" t="str">
        <f>VLOOKUP(D250,Sheet3!A:C,3,0)</f>
        <v>ZY117</v>
      </c>
    </row>
    <row r="251" spans="1:7" hidden="1" x14ac:dyDescent="0.3">
      <c r="A251" s="6" t="s">
        <v>407</v>
      </c>
      <c r="B251" s="6" t="s">
        <v>408</v>
      </c>
      <c r="C251" s="7" t="s">
        <v>267</v>
      </c>
      <c r="D251" s="7" t="s">
        <v>409</v>
      </c>
      <c r="E251" s="49" t="s">
        <v>381</v>
      </c>
      <c r="F251" s="9" t="s">
        <v>249</v>
      </c>
      <c r="G251" s="5" t="str">
        <f>VLOOKUP(D251,Sheet3!A:C,3,0)</f>
        <v>ZY120</v>
      </c>
    </row>
    <row r="252" spans="1:7" hidden="1" x14ac:dyDescent="0.3">
      <c r="A252" s="6" t="s">
        <v>410</v>
      </c>
      <c r="B252" s="6" t="s">
        <v>411</v>
      </c>
      <c r="C252" s="7" t="s">
        <v>267</v>
      </c>
      <c r="D252" s="7" t="s">
        <v>412</v>
      </c>
      <c r="E252" s="49" t="s">
        <v>413</v>
      </c>
      <c r="F252" s="9" t="s">
        <v>299</v>
      </c>
      <c r="G252" s="5" t="str">
        <f>VLOOKUP(D252,Sheet3!A:C,3,0)</f>
        <v>SA134</v>
      </c>
    </row>
    <row r="253" spans="1:7" hidden="1" x14ac:dyDescent="0.3">
      <c r="A253" s="6" t="s">
        <v>414</v>
      </c>
      <c r="B253" s="6" t="s">
        <v>415</v>
      </c>
      <c r="C253" s="7" t="s">
        <v>267</v>
      </c>
      <c r="D253" s="7" t="s">
        <v>416</v>
      </c>
      <c r="E253" s="49" t="s">
        <v>416</v>
      </c>
      <c r="F253" s="9" t="s">
        <v>313</v>
      </c>
      <c r="G253" s="5" t="str">
        <f>VLOOKUP(D253,Sheet3!A:C,3,0)</f>
        <v>SA135</v>
      </c>
    </row>
    <row r="254" spans="1:7" hidden="1" x14ac:dyDescent="0.3">
      <c r="A254" s="6" t="s">
        <v>417</v>
      </c>
      <c r="B254" s="6" t="s">
        <v>418</v>
      </c>
      <c r="C254" s="7" t="s">
        <v>419</v>
      </c>
      <c r="D254" s="7" t="s">
        <v>419</v>
      </c>
      <c r="E254" s="52" t="s">
        <v>276</v>
      </c>
      <c r="F254" s="9" t="s">
        <v>18</v>
      </c>
      <c r="G254" s="5" t="str">
        <f>VLOOKUP(D254,Sheet3!A:C,3,0)</f>
        <v>SA136</v>
      </c>
    </row>
    <row r="255" spans="1:7" hidden="1" x14ac:dyDescent="0.3">
      <c r="A255" s="6" t="s">
        <v>420</v>
      </c>
      <c r="B255" s="6" t="s">
        <v>421</v>
      </c>
      <c r="C255" s="7" t="s">
        <v>419</v>
      </c>
      <c r="D255" s="10" t="s">
        <v>422</v>
      </c>
      <c r="E255" s="49" t="s">
        <v>423</v>
      </c>
      <c r="F255" s="9" t="s">
        <v>249</v>
      </c>
      <c r="G255" s="5" t="str">
        <f>VLOOKUP(D255,Sheet3!A:C,3,0)</f>
        <v>SA137</v>
      </c>
    </row>
    <row r="256" spans="1:7" hidden="1" x14ac:dyDescent="0.3">
      <c r="A256" s="6" t="s">
        <v>424</v>
      </c>
      <c r="B256" s="6" t="s">
        <v>425</v>
      </c>
      <c r="C256" s="7" t="s">
        <v>426</v>
      </c>
      <c r="D256" s="7" t="s">
        <v>426</v>
      </c>
      <c r="E256" s="49" t="s">
        <v>427</v>
      </c>
      <c r="F256" s="9" t="s">
        <v>249</v>
      </c>
      <c r="G256" s="5" t="str">
        <f>VLOOKUP(D256,Sheet3!A:C,3,0)</f>
        <v>SA138</v>
      </c>
    </row>
    <row r="257" spans="1:7" hidden="1" x14ac:dyDescent="0.3">
      <c r="A257" s="6" t="s">
        <v>428</v>
      </c>
      <c r="B257" s="6" t="s">
        <v>429</v>
      </c>
      <c r="C257" s="7" t="s">
        <v>426</v>
      </c>
      <c r="D257" s="7" t="s">
        <v>430</v>
      </c>
      <c r="E257" s="49" t="s">
        <v>427</v>
      </c>
      <c r="F257" s="9" t="s">
        <v>249</v>
      </c>
      <c r="G257" s="5" t="str">
        <f>VLOOKUP(D257,Sheet3!A:C,3,0)</f>
        <v>SA139</v>
      </c>
    </row>
    <row r="258" spans="1:7" hidden="1" x14ac:dyDescent="0.3">
      <c r="A258" s="6" t="s">
        <v>431</v>
      </c>
      <c r="B258" s="6" t="s">
        <v>432</v>
      </c>
      <c r="C258" s="7" t="s">
        <v>426</v>
      </c>
      <c r="D258" s="7" t="s">
        <v>433</v>
      </c>
      <c r="E258" s="49" t="s">
        <v>427</v>
      </c>
      <c r="F258" s="9" t="s">
        <v>249</v>
      </c>
      <c r="G258" s="5" t="str">
        <f>VLOOKUP(D258,Sheet3!A:C,3,0)</f>
        <v>ZY84</v>
      </c>
    </row>
    <row r="259" spans="1:7" hidden="1" x14ac:dyDescent="0.3">
      <c r="A259" s="6" t="s">
        <v>434</v>
      </c>
      <c r="B259" s="6" t="s">
        <v>435</v>
      </c>
      <c r="C259" s="7" t="s">
        <v>426</v>
      </c>
      <c r="D259" s="10" t="s">
        <v>436</v>
      </c>
      <c r="E259" s="49" t="s">
        <v>427</v>
      </c>
      <c r="F259" s="9" t="s">
        <v>249</v>
      </c>
      <c r="G259" s="5" t="str">
        <f>VLOOKUP(D259,Sheet3!A:C,3,0)</f>
        <v>ZY85</v>
      </c>
    </row>
    <row r="260" spans="1:7" hidden="1" x14ac:dyDescent="0.3">
      <c r="A260" s="6" t="s">
        <v>437</v>
      </c>
      <c r="B260" s="6" t="s">
        <v>438</v>
      </c>
      <c r="C260" s="7" t="s">
        <v>426</v>
      </c>
      <c r="D260" s="10" t="s">
        <v>439</v>
      </c>
      <c r="E260" s="49" t="s">
        <v>427</v>
      </c>
      <c r="F260" s="9" t="s">
        <v>249</v>
      </c>
      <c r="G260" s="5" t="str">
        <f>VLOOKUP(D260,Sheet3!A:C,3,0)</f>
        <v>ZY86</v>
      </c>
    </row>
    <row r="261" spans="1:7" hidden="1" x14ac:dyDescent="0.3">
      <c r="A261" s="6" t="s">
        <v>631</v>
      </c>
      <c r="B261" s="6" t="s">
        <v>440</v>
      </c>
      <c r="C261" s="7" t="s">
        <v>426</v>
      </c>
      <c r="D261" s="10" t="s">
        <v>441</v>
      </c>
      <c r="E261" s="49" t="s">
        <v>427</v>
      </c>
      <c r="F261" s="9" t="s">
        <v>249</v>
      </c>
      <c r="G261" s="5" t="str">
        <f>VLOOKUP(D261,Sheet3!A:C,3,0)</f>
        <v>SA140</v>
      </c>
    </row>
    <row r="262" spans="1:7" hidden="1" x14ac:dyDescent="0.3">
      <c r="A262" s="6" t="s">
        <v>442</v>
      </c>
      <c r="B262" s="6" t="s">
        <v>443</v>
      </c>
      <c r="C262" s="7" t="s">
        <v>426</v>
      </c>
      <c r="D262" s="10" t="s">
        <v>444</v>
      </c>
      <c r="E262" s="49" t="s">
        <v>427</v>
      </c>
      <c r="F262" s="9" t="s">
        <v>249</v>
      </c>
      <c r="G262" s="5" t="str">
        <f>VLOOKUP(D262,Sheet3!A:C,3,0)</f>
        <v>ZY177</v>
      </c>
    </row>
    <row r="263" spans="1:7" hidden="1" x14ac:dyDescent="0.3">
      <c r="A263" s="6" t="s">
        <v>445</v>
      </c>
      <c r="B263" s="6" t="s">
        <v>446</v>
      </c>
      <c r="C263" s="7" t="s">
        <v>426</v>
      </c>
      <c r="D263" s="10" t="s">
        <v>447</v>
      </c>
      <c r="E263" s="49" t="s">
        <v>448</v>
      </c>
      <c r="F263" s="9" t="s">
        <v>313</v>
      </c>
      <c r="G263" s="5" t="str">
        <f>VLOOKUP(D263,Sheet3!A:C,3,0)</f>
        <v>ZY87</v>
      </c>
    </row>
    <row r="264" spans="1:7" hidden="1" x14ac:dyDescent="0.3">
      <c r="A264" s="6" t="s">
        <v>449</v>
      </c>
      <c r="B264" s="6" t="s">
        <v>450</v>
      </c>
      <c r="C264" s="7" t="s">
        <v>426</v>
      </c>
      <c r="D264" s="7" t="s">
        <v>451</v>
      </c>
      <c r="E264" s="49" t="s">
        <v>427</v>
      </c>
      <c r="F264" s="9" t="s">
        <v>594</v>
      </c>
      <c r="G264" s="5" t="str">
        <f>VLOOKUP(D264,Sheet3!A:C,3,0)</f>
        <v>ZY88</v>
      </c>
    </row>
    <row r="265" spans="1:7" hidden="1" x14ac:dyDescent="0.3">
      <c r="A265" s="6" t="s">
        <v>632</v>
      </c>
      <c r="B265" s="6" t="s">
        <v>452</v>
      </c>
      <c r="C265" s="7" t="s">
        <v>426</v>
      </c>
      <c r="D265" s="10" t="s">
        <v>453</v>
      </c>
      <c r="E265" s="49" t="s">
        <v>427</v>
      </c>
      <c r="F265" s="9" t="s">
        <v>249</v>
      </c>
      <c r="G265" s="5" t="str">
        <f>VLOOKUP(D265,Sheet3!A:C,3,0)</f>
        <v>ZY04</v>
      </c>
    </row>
    <row r="266" spans="1:7" hidden="1" x14ac:dyDescent="0.3">
      <c r="A266" s="6" t="s">
        <v>454</v>
      </c>
      <c r="B266" s="6" t="s">
        <v>455</v>
      </c>
      <c r="C266" s="7" t="s">
        <v>456</v>
      </c>
      <c r="D266" s="10" t="s">
        <v>455</v>
      </c>
      <c r="E266" s="49" t="s">
        <v>457</v>
      </c>
      <c r="F266" s="9" t="s">
        <v>249</v>
      </c>
      <c r="G266" s="5" t="str">
        <f>VLOOKUP(D266,Sheet3!A:C,3,0)</f>
        <v>SA142</v>
      </c>
    </row>
    <row r="267" spans="1:7" hidden="1" x14ac:dyDescent="0.3">
      <c r="A267" s="6" t="s">
        <v>458</v>
      </c>
      <c r="B267" s="6" t="s">
        <v>459</v>
      </c>
      <c r="C267" s="7" t="s">
        <v>456</v>
      </c>
      <c r="D267" s="7" t="s">
        <v>459</v>
      </c>
      <c r="E267" s="49" t="s">
        <v>457</v>
      </c>
      <c r="F267" s="9" t="s">
        <v>249</v>
      </c>
      <c r="G267" s="5" t="str">
        <f>VLOOKUP(D267,Sheet3!A:C,3,0)</f>
        <v>SA143</v>
      </c>
    </row>
    <row r="268" spans="1:7" hidden="1" x14ac:dyDescent="0.3">
      <c r="A268" s="6" t="s">
        <v>460</v>
      </c>
      <c r="B268" s="6" t="s">
        <v>461</v>
      </c>
      <c r="C268" s="7" t="s">
        <v>456</v>
      </c>
      <c r="D268" s="10" t="s">
        <v>461</v>
      </c>
      <c r="E268" s="49" t="s">
        <v>457</v>
      </c>
      <c r="F268" s="9" t="s">
        <v>249</v>
      </c>
      <c r="G268" s="5" t="str">
        <f>VLOOKUP(D268,Sheet3!A:C,3,0)</f>
        <v>SA144</v>
      </c>
    </row>
    <row r="269" spans="1:7" hidden="1" x14ac:dyDescent="0.3">
      <c r="A269" s="6" t="s">
        <v>462</v>
      </c>
      <c r="B269" s="6" t="s">
        <v>463</v>
      </c>
      <c r="C269" s="7" t="s">
        <v>456</v>
      </c>
      <c r="D269" s="10" t="s">
        <v>463</v>
      </c>
      <c r="E269" s="49" t="s">
        <v>457</v>
      </c>
      <c r="F269" s="9" t="s">
        <v>249</v>
      </c>
      <c r="G269" s="5" t="str">
        <f>VLOOKUP(D269,Sheet3!A:C,3,0)</f>
        <v>SA145</v>
      </c>
    </row>
    <row r="270" spans="1:7" hidden="1" x14ac:dyDescent="0.3">
      <c r="A270" s="6" t="s">
        <v>464</v>
      </c>
      <c r="B270" s="6" t="s">
        <v>465</v>
      </c>
      <c r="C270" s="7" t="s">
        <v>456</v>
      </c>
      <c r="D270" s="10" t="s">
        <v>465</v>
      </c>
      <c r="E270" s="49" t="s">
        <v>457</v>
      </c>
      <c r="F270" s="9" t="s">
        <v>249</v>
      </c>
      <c r="G270" s="5" t="str">
        <f>VLOOKUP(D270,Sheet3!A:C,3,0)</f>
        <v>SA146</v>
      </c>
    </row>
    <row r="271" spans="1:7" hidden="1" x14ac:dyDescent="0.3">
      <c r="A271" s="6" t="s">
        <v>466</v>
      </c>
      <c r="B271" s="6" t="s">
        <v>467</v>
      </c>
      <c r="C271" s="7" t="s">
        <v>456</v>
      </c>
      <c r="D271" s="7" t="s">
        <v>467</v>
      </c>
      <c r="E271" s="49" t="s">
        <v>457</v>
      </c>
      <c r="F271" s="31" t="s">
        <v>610</v>
      </c>
      <c r="G271" s="5" t="str">
        <f>VLOOKUP(D271,Sheet3!A:C,3,0)</f>
        <v>SA147</v>
      </c>
    </row>
    <row r="272" spans="1:7" hidden="1" x14ac:dyDescent="0.3">
      <c r="A272" s="6" t="s">
        <v>468</v>
      </c>
      <c r="B272" s="6" t="s">
        <v>469</v>
      </c>
      <c r="C272" s="7" t="s">
        <v>360</v>
      </c>
      <c r="D272" s="7" t="s">
        <v>470</v>
      </c>
      <c r="E272" s="52" t="s">
        <v>360</v>
      </c>
      <c r="F272" s="9" t="s">
        <v>18</v>
      </c>
      <c r="G272" s="5" t="str">
        <f>VLOOKUP(D272,Sheet3!A:C,3,0)</f>
        <v>ZY89</v>
      </c>
    </row>
    <row r="273" spans="1:7" hidden="1" x14ac:dyDescent="0.3">
      <c r="A273" s="6" t="s">
        <v>468</v>
      </c>
      <c r="B273" s="6" t="s">
        <v>469</v>
      </c>
      <c r="C273" s="7" t="s">
        <v>360</v>
      </c>
      <c r="D273" s="7" t="s">
        <v>471</v>
      </c>
      <c r="E273" s="52" t="s">
        <v>360</v>
      </c>
      <c r="F273" s="9" t="s">
        <v>18</v>
      </c>
      <c r="G273" s="5" t="str">
        <f>VLOOKUP(D273,Sheet3!A:C,3,0)</f>
        <v>ZY93</v>
      </c>
    </row>
    <row r="274" spans="1:7" hidden="1" x14ac:dyDescent="0.3">
      <c r="A274" s="6" t="s">
        <v>468</v>
      </c>
      <c r="B274" s="6" t="s">
        <v>469</v>
      </c>
      <c r="C274" s="7" t="s">
        <v>360</v>
      </c>
      <c r="D274" s="7" t="s">
        <v>472</v>
      </c>
      <c r="E274" s="52" t="s">
        <v>360</v>
      </c>
      <c r="F274" s="9" t="s">
        <v>18</v>
      </c>
      <c r="G274" s="5" t="str">
        <f>VLOOKUP(D274,Sheet3!A:C,3,0)</f>
        <v>ZY94</v>
      </c>
    </row>
    <row r="275" spans="1:7" hidden="1" x14ac:dyDescent="0.3">
      <c r="A275" s="6" t="s">
        <v>468</v>
      </c>
      <c r="B275" s="6" t="s">
        <v>469</v>
      </c>
      <c r="C275" s="7" t="s">
        <v>360</v>
      </c>
      <c r="D275" s="7" t="s">
        <v>473</v>
      </c>
      <c r="E275" s="52" t="s">
        <v>360</v>
      </c>
      <c r="F275" s="9" t="s">
        <v>18</v>
      </c>
      <c r="G275" s="5" t="str">
        <f>VLOOKUP(D275,Sheet3!A:C,3,0)</f>
        <v>SA148</v>
      </c>
    </row>
    <row r="276" spans="1:7" hidden="1" x14ac:dyDescent="0.3">
      <c r="A276" s="6" t="s">
        <v>468</v>
      </c>
      <c r="B276" s="6" t="s">
        <v>469</v>
      </c>
      <c r="C276" s="7" t="s">
        <v>360</v>
      </c>
      <c r="D276" s="10" t="s">
        <v>474</v>
      </c>
      <c r="E276" s="52" t="s">
        <v>360</v>
      </c>
      <c r="F276" s="9" t="s">
        <v>18</v>
      </c>
      <c r="G276" s="5" t="str">
        <f>VLOOKUP(D276,Sheet3!A:C,3,0)</f>
        <v>ZY95</v>
      </c>
    </row>
    <row r="277" spans="1:7" hidden="1" x14ac:dyDescent="0.3">
      <c r="A277" s="6" t="s">
        <v>468</v>
      </c>
      <c r="B277" s="6" t="s">
        <v>469</v>
      </c>
      <c r="C277" s="7" t="s">
        <v>360</v>
      </c>
      <c r="D277" s="7" t="s">
        <v>475</v>
      </c>
      <c r="E277" s="52" t="s">
        <v>360</v>
      </c>
      <c r="F277" s="9" t="s">
        <v>18</v>
      </c>
      <c r="G277" s="5" t="str">
        <f>VLOOKUP(D277,Sheet3!A:C,3,0)</f>
        <v>SA149</v>
      </c>
    </row>
    <row r="278" spans="1:7" hidden="1" x14ac:dyDescent="0.3">
      <c r="A278" s="6" t="s">
        <v>468</v>
      </c>
      <c r="B278" s="6" t="s">
        <v>469</v>
      </c>
      <c r="C278" s="7" t="s">
        <v>360</v>
      </c>
      <c r="D278" s="7" t="s">
        <v>476</v>
      </c>
      <c r="E278" s="52" t="s">
        <v>360</v>
      </c>
      <c r="F278" s="9" t="s">
        <v>18</v>
      </c>
      <c r="G278" s="5" t="str">
        <f>VLOOKUP(D278,Sheet3!A:C,3,0)</f>
        <v>SA150</v>
      </c>
    </row>
    <row r="279" spans="1:7" hidden="1" x14ac:dyDescent="0.3">
      <c r="A279" s="6" t="s">
        <v>468</v>
      </c>
      <c r="B279" s="6" t="s">
        <v>469</v>
      </c>
      <c r="C279" s="7" t="s">
        <v>360</v>
      </c>
      <c r="D279" s="7" t="s">
        <v>477</v>
      </c>
      <c r="E279" s="52" t="s">
        <v>360</v>
      </c>
      <c r="F279" s="9" t="s">
        <v>18</v>
      </c>
      <c r="G279" s="5" t="str">
        <f>VLOOKUP(D279,Sheet3!A:C,3,0)</f>
        <v>SA151</v>
      </c>
    </row>
    <row r="280" spans="1:7" hidden="1" x14ac:dyDescent="0.3">
      <c r="A280" s="6" t="s">
        <v>468</v>
      </c>
      <c r="B280" s="6" t="s">
        <v>469</v>
      </c>
      <c r="C280" s="7" t="s">
        <v>360</v>
      </c>
      <c r="D280" s="7" t="s">
        <v>478</v>
      </c>
      <c r="E280" s="52" t="s">
        <v>360</v>
      </c>
      <c r="F280" s="9" t="s">
        <v>18</v>
      </c>
      <c r="G280" s="5" t="str">
        <f>VLOOKUP(D280,Sheet3!A:C,3,0)</f>
        <v>SA152</v>
      </c>
    </row>
    <row r="281" spans="1:7" hidden="1" x14ac:dyDescent="0.3">
      <c r="A281" s="6" t="s">
        <v>468</v>
      </c>
      <c r="B281" s="6" t="s">
        <v>469</v>
      </c>
      <c r="C281" s="7" t="s">
        <v>360</v>
      </c>
      <c r="D281" s="7" t="s">
        <v>479</v>
      </c>
      <c r="E281" s="52" t="s">
        <v>360</v>
      </c>
      <c r="F281" s="9" t="s">
        <v>18</v>
      </c>
      <c r="G281" s="5" t="str">
        <f>VLOOKUP(D281,Sheet3!A:C,3,0)</f>
        <v>ZY96</v>
      </c>
    </row>
    <row r="282" spans="1:7" hidden="1" x14ac:dyDescent="0.3">
      <c r="A282" s="6" t="s">
        <v>468</v>
      </c>
      <c r="B282" s="6" t="s">
        <v>469</v>
      </c>
      <c r="C282" s="7" t="s">
        <v>360</v>
      </c>
      <c r="D282" s="7" t="s">
        <v>480</v>
      </c>
      <c r="E282" s="52" t="s">
        <v>360</v>
      </c>
      <c r="F282" s="9" t="s">
        <v>18</v>
      </c>
      <c r="G282" s="5" t="str">
        <f>VLOOKUP(D282,Sheet3!A:C,3,0)</f>
        <v>ZY97</v>
      </c>
    </row>
    <row r="283" spans="1:7" hidden="1" x14ac:dyDescent="0.3">
      <c r="A283" s="6" t="s">
        <v>468</v>
      </c>
      <c r="B283" s="6" t="s">
        <v>469</v>
      </c>
      <c r="C283" s="7" t="s">
        <v>360</v>
      </c>
      <c r="D283" s="7" t="s">
        <v>481</v>
      </c>
      <c r="E283" s="52" t="s">
        <v>360</v>
      </c>
      <c r="F283" s="9" t="s">
        <v>18</v>
      </c>
      <c r="G283" s="5" t="str">
        <f>VLOOKUP(D283,Sheet3!A:C,3,0)</f>
        <v>ZY98</v>
      </c>
    </row>
    <row r="284" spans="1:7" hidden="1" x14ac:dyDescent="0.3">
      <c r="A284" s="6" t="s">
        <v>468</v>
      </c>
      <c r="B284" s="6" t="s">
        <v>469</v>
      </c>
      <c r="C284" s="7" t="s">
        <v>360</v>
      </c>
      <c r="D284" s="7" t="s">
        <v>482</v>
      </c>
      <c r="E284" s="52" t="s">
        <v>360</v>
      </c>
      <c r="F284" s="9" t="s">
        <v>18</v>
      </c>
      <c r="G284" s="5" t="str">
        <f>VLOOKUP(D284,Sheet3!A:C,3,0)</f>
        <v>ZY90</v>
      </c>
    </row>
    <row r="285" spans="1:7" hidden="1" x14ac:dyDescent="0.3">
      <c r="A285" s="6" t="s">
        <v>468</v>
      </c>
      <c r="B285" s="6" t="s">
        <v>469</v>
      </c>
      <c r="C285" s="7" t="s">
        <v>360</v>
      </c>
      <c r="D285" s="10" t="s">
        <v>483</v>
      </c>
      <c r="E285" s="52" t="s">
        <v>360</v>
      </c>
      <c r="F285" s="9" t="s">
        <v>18</v>
      </c>
      <c r="G285" s="5" t="str">
        <f>VLOOKUP(D285,Sheet3!A:C,3,0)</f>
        <v>ZY91</v>
      </c>
    </row>
    <row r="286" spans="1:7" hidden="1" x14ac:dyDescent="0.3">
      <c r="A286" s="6" t="s">
        <v>468</v>
      </c>
      <c r="B286" s="6" t="s">
        <v>469</v>
      </c>
      <c r="C286" s="7" t="s">
        <v>360</v>
      </c>
      <c r="D286" s="7" t="s">
        <v>484</v>
      </c>
      <c r="E286" s="52" t="s">
        <v>360</v>
      </c>
      <c r="F286" s="9" t="s">
        <v>18</v>
      </c>
      <c r="G286" s="5" t="str">
        <f>VLOOKUP(D286,Sheet3!A:C,3,0)</f>
        <v>ZY99</v>
      </c>
    </row>
    <row r="287" spans="1:7" hidden="1" x14ac:dyDescent="0.3">
      <c r="A287" s="6" t="s">
        <v>468</v>
      </c>
      <c r="B287" s="6" t="s">
        <v>469</v>
      </c>
      <c r="C287" s="7" t="s">
        <v>360</v>
      </c>
      <c r="D287" s="7" t="s">
        <v>485</v>
      </c>
      <c r="E287" s="52" t="s">
        <v>360</v>
      </c>
      <c r="F287" s="9" t="s">
        <v>18</v>
      </c>
      <c r="G287" s="5" t="str">
        <f>VLOOKUP(D287,Sheet3!A:C,3,0)</f>
        <v>ZY101</v>
      </c>
    </row>
    <row r="288" spans="1:7" hidden="1" x14ac:dyDescent="0.3">
      <c r="A288" s="6" t="s">
        <v>468</v>
      </c>
      <c r="B288" s="6" t="s">
        <v>469</v>
      </c>
      <c r="C288" s="7" t="s">
        <v>360</v>
      </c>
      <c r="D288" s="7" t="s">
        <v>486</v>
      </c>
      <c r="E288" s="52" t="s">
        <v>360</v>
      </c>
      <c r="F288" s="9" t="s">
        <v>18</v>
      </c>
      <c r="G288" s="5" t="str">
        <f>VLOOKUP(D288,Sheet3!A:C,3,0)</f>
        <v>ZY102</v>
      </c>
    </row>
    <row r="289" spans="1:7" hidden="1" x14ac:dyDescent="0.3">
      <c r="A289" s="6" t="s">
        <v>468</v>
      </c>
      <c r="B289" s="6" t="s">
        <v>469</v>
      </c>
      <c r="C289" s="7" t="s">
        <v>360</v>
      </c>
      <c r="D289" s="7" t="s">
        <v>487</v>
      </c>
      <c r="E289" s="52" t="s">
        <v>360</v>
      </c>
      <c r="F289" s="9" t="s">
        <v>18</v>
      </c>
      <c r="G289" s="5" t="str">
        <f>VLOOKUP(D289,Sheet3!A:C,3,0)</f>
        <v>ZY100</v>
      </c>
    </row>
    <row r="290" spans="1:7" hidden="1" x14ac:dyDescent="0.3">
      <c r="A290" s="6" t="s">
        <v>468</v>
      </c>
      <c r="B290" s="6" t="s">
        <v>469</v>
      </c>
      <c r="C290" s="7" t="s">
        <v>360</v>
      </c>
      <c r="D290" s="7" t="s">
        <v>488</v>
      </c>
      <c r="E290" s="52" t="s">
        <v>360</v>
      </c>
      <c r="F290" s="9" t="s">
        <v>18</v>
      </c>
      <c r="G290" s="5" t="str">
        <f>VLOOKUP(D290,Sheet3!A:C,3,0)</f>
        <v>ZY92</v>
      </c>
    </row>
    <row r="291" spans="1:7" hidden="1" x14ac:dyDescent="0.3">
      <c r="A291" s="6" t="s">
        <v>489</v>
      </c>
      <c r="B291" s="6" t="s">
        <v>490</v>
      </c>
      <c r="C291" s="7" t="s">
        <v>267</v>
      </c>
      <c r="D291" s="7" t="s">
        <v>491</v>
      </c>
      <c r="E291" s="49" t="s">
        <v>492</v>
      </c>
      <c r="F291" s="25" t="s">
        <v>493</v>
      </c>
      <c r="G291" s="5" t="str">
        <f>VLOOKUP(D291,Sheet3!A:C,3,0)</f>
        <v>SA153</v>
      </c>
    </row>
    <row r="292" spans="1:7" hidden="1" x14ac:dyDescent="0.3">
      <c r="A292" s="6" t="s">
        <v>494</v>
      </c>
      <c r="B292" s="6" t="s">
        <v>495</v>
      </c>
      <c r="C292" s="7" t="s">
        <v>496</v>
      </c>
      <c r="D292" s="7" t="s">
        <v>496</v>
      </c>
      <c r="E292" s="49" t="s">
        <v>496</v>
      </c>
      <c r="F292" s="9" t="s">
        <v>497</v>
      </c>
      <c r="G292" s="5" t="str">
        <f>VLOOKUP(D292,Sheet3!A:C,3,0)</f>
        <v>SA154</v>
      </c>
    </row>
    <row r="293" spans="1:7" hidden="1" x14ac:dyDescent="0.3">
      <c r="A293" s="11" t="s">
        <v>498</v>
      </c>
      <c r="B293" s="11" t="s">
        <v>499</v>
      </c>
      <c r="C293" s="10" t="s">
        <v>500</v>
      </c>
      <c r="D293" s="10" t="s">
        <v>501</v>
      </c>
      <c r="E293" s="49" t="s">
        <v>502</v>
      </c>
      <c r="F293" s="9" t="s">
        <v>68</v>
      </c>
      <c r="G293" s="5" t="str">
        <f>VLOOKUP(D293,Sheet3!A:C,3,0)</f>
        <v>SA155</v>
      </c>
    </row>
    <row r="294" spans="1:7" hidden="1" x14ac:dyDescent="0.3">
      <c r="A294" s="6" t="s">
        <v>503</v>
      </c>
      <c r="B294" s="6" t="s">
        <v>504</v>
      </c>
      <c r="C294" s="7" t="s">
        <v>500</v>
      </c>
      <c r="D294" s="7" t="s">
        <v>505</v>
      </c>
      <c r="E294" s="49" t="s">
        <v>304</v>
      </c>
      <c r="F294" s="9" t="s">
        <v>302</v>
      </c>
      <c r="G294" s="5" t="str">
        <f>VLOOKUP(D294,Sheet3!A:C,3,0)</f>
        <v>SA156</v>
      </c>
    </row>
    <row r="295" spans="1:7" hidden="1" x14ac:dyDescent="0.3">
      <c r="A295" s="6" t="s">
        <v>503</v>
      </c>
      <c r="B295" s="6" t="s">
        <v>504</v>
      </c>
      <c r="C295" s="7" t="s">
        <v>500</v>
      </c>
      <c r="D295" s="7" t="s">
        <v>506</v>
      </c>
      <c r="E295" s="49" t="s">
        <v>304</v>
      </c>
      <c r="F295" s="9" t="s">
        <v>302</v>
      </c>
      <c r="G295" s="5" t="str">
        <f>VLOOKUP(D295,Sheet3!A:C,3,0)</f>
        <v>SA157</v>
      </c>
    </row>
    <row r="296" spans="1:7" hidden="1" x14ac:dyDescent="0.3">
      <c r="A296" s="6" t="s">
        <v>507</v>
      </c>
      <c r="B296" s="6" t="s">
        <v>508</v>
      </c>
      <c r="C296" s="7" t="s">
        <v>500</v>
      </c>
      <c r="D296" s="7" t="s">
        <v>509</v>
      </c>
      <c r="E296" s="49" t="s">
        <v>509</v>
      </c>
      <c r="F296" s="9" t="s">
        <v>313</v>
      </c>
      <c r="G296" s="5" t="str">
        <f>VLOOKUP(D296,Sheet3!A:C,3,0)</f>
        <v>SA158</v>
      </c>
    </row>
    <row r="297" spans="1:7" hidden="1" x14ac:dyDescent="0.3">
      <c r="A297" s="6" t="s">
        <v>510</v>
      </c>
      <c r="B297" s="6" t="s">
        <v>511</v>
      </c>
      <c r="C297" s="7" t="s">
        <v>500</v>
      </c>
      <c r="D297" s="7" t="s">
        <v>512</v>
      </c>
      <c r="E297" s="49" t="s">
        <v>304</v>
      </c>
      <c r="F297" s="9" t="s">
        <v>302</v>
      </c>
      <c r="G297" s="5" t="str">
        <f>VLOOKUP(D297,Sheet3!A:C,3,0)</f>
        <v>SA159</v>
      </c>
    </row>
    <row r="298" spans="1:7" hidden="1" x14ac:dyDescent="0.3">
      <c r="A298" s="6" t="s">
        <v>513</v>
      </c>
      <c r="B298" s="6" t="s">
        <v>514</v>
      </c>
      <c r="C298" s="7" t="s">
        <v>500</v>
      </c>
      <c r="D298" s="7" t="s">
        <v>515</v>
      </c>
      <c r="E298" s="49" t="s">
        <v>516</v>
      </c>
      <c r="F298" s="9" t="s">
        <v>517</v>
      </c>
      <c r="G298" s="5" t="str">
        <f>VLOOKUP(D298,Sheet3!A:C,3,0)</f>
        <v>SA160</v>
      </c>
    </row>
    <row r="299" spans="1:7" hidden="1" x14ac:dyDescent="0.3">
      <c r="A299" s="6" t="s">
        <v>513</v>
      </c>
      <c r="B299" s="6" t="s">
        <v>514</v>
      </c>
      <c r="C299" s="7" t="s">
        <v>500</v>
      </c>
      <c r="D299" s="7" t="s">
        <v>518</v>
      </c>
      <c r="E299" s="49" t="s">
        <v>516</v>
      </c>
      <c r="F299" s="9" t="s">
        <v>517</v>
      </c>
      <c r="G299" s="5" t="str">
        <f>VLOOKUP(D299,Sheet3!A:C,3,0)</f>
        <v>SA161</v>
      </c>
    </row>
    <row r="300" spans="1:7" hidden="1" x14ac:dyDescent="0.3">
      <c r="A300" s="6" t="s">
        <v>513</v>
      </c>
      <c r="B300" s="6" t="s">
        <v>514</v>
      </c>
      <c r="C300" s="7" t="s">
        <v>500</v>
      </c>
      <c r="D300" s="7" t="s">
        <v>519</v>
      </c>
      <c r="E300" s="49" t="s">
        <v>516</v>
      </c>
      <c r="F300" s="9" t="s">
        <v>517</v>
      </c>
      <c r="G300" s="5" t="str">
        <f>VLOOKUP(D300,Sheet3!A:C,3,0)</f>
        <v>SA162</v>
      </c>
    </row>
    <row r="301" spans="1:7" hidden="1" x14ac:dyDescent="0.3">
      <c r="A301" s="6" t="s">
        <v>520</v>
      </c>
      <c r="B301" s="6" t="s">
        <v>521</v>
      </c>
      <c r="C301" s="7" t="s">
        <v>500</v>
      </c>
      <c r="D301" s="7" t="s">
        <v>500</v>
      </c>
      <c r="E301" s="52" t="s">
        <v>276</v>
      </c>
      <c r="F301" s="9" t="s">
        <v>18</v>
      </c>
      <c r="G301" s="5" t="str">
        <f>VLOOKUP(D301,Sheet3!A:C,3,0)</f>
        <v>SA164</v>
      </c>
    </row>
    <row r="302" spans="1:7" hidden="1" x14ac:dyDescent="0.3">
      <c r="A302" s="6" t="s">
        <v>633</v>
      </c>
      <c r="B302" s="6" t="s">
        <v>522</v>
      </c>
      <c r="C302" s="6" t="s">
        <v>522</v>
      </c>
      <c r="D302" s="7" t="s">
        <v>522</v>
      </c>
      <c r="E302" s="49" t="s">
        <v>522</v>
      </c>
      <c r="F302" s="9" t="s">
        <v>517</v>
      </c>
      <c r="G302" s="5" t="str">
        <f>VLOOKUP(D302,Sheet3!A:C,3,0)</f>
        <v>SA165</v>
      </c>
    </row>
    <row r="303" spans="1:7" hidden="1" x14ac:dyDescent="0.3">
      <c r="A303" s="6" t="s">
        <v>523</v>
      </c>
      <c r="B303" s="6" t="s">
        <v>524</v>
      </c>
      <c r="C303" s="7" t="s">
        <v>524</v>
      </c>
      <c r="D303" s="7" t="s">
        <v>524</v>
      </c>
      <c r="E303" s="49" t="s">
        <v>524</v>
      </c>
      <c r="F303" s="9" t="s">
        <v>517</v>
      </c>
      <c r="G303" s="5" t="str">
        <f>VLOOKUP(D303,Sheet3!A:C,3,0)</f>
        <v>SA166</v>
      </c>
    </row>
    <row r="304" spans="1:7" hidden="1" x14ac:dyDescent="0.3">
      <c r="A304" s="6" t="s">
        <v>525</v>
      </c>
      <c r="B304" s="6" t="s">
        <v>526</v>
      </c>
      <c r="C304" s="7" t="s">
        <v>526</v>
      </c>
      <c r="D304" s="7" t="s">
        <v>526</v>
      </c>
      <c r="E304" s="52" t="s">
        <v>276</v>
      </c>
      <c r="F304" s="9" t="s">
        <v>18</v>
      </c>
      <c r="G304" s="5" t="str">
        <f>VLOOKUP(D304,Sheet3!A:C,3,0)</f>
        <v>SA167</v>
      </c>
    </row>
    <row r="305" spans="1:7" hidden="1" x14ac:dyDescent="0.3">
      <c r="A305" s="6" t="s">
        <v>527</v>
      </c>
      <c r="B305" s="6" t="s">
        <v>528</v>
      </c>
      <c r="C305" s="7" t="s">
        <v>529</v>
      </c>
      <c r="D305" s="7" t="s">
        <v>530</v>
      </c>
      <c r="E305" s="49" t="s">
        <v>529</v>
      </c>
      <c r="F305" s="9" t="s">
        <v>125</v>
      </c>
      <c r="G305" s="5" t="str">
        <f>VLOOKUP(D305,Sheet3!A:C,3,0)</f>
        <v>SA168</v>
      </c>
    </row>
    <row r="306" spans="1:7" hidden="1" x14ac:dyDescent="0.3">
      <c r="A306" s="6" t="s">
        <v>527</v>
      </c>
      <c r="B306" s="6" t="s">
        <v>528</v>
      </c>
      <c r="C306" s="7" t="s">
        <v>529</v>
      </c>
      <c r="D306" s="7" t="s">
        <v>530</v>
      </c>
      <c r="E306" s="49" t="s">
        <v>529</v>
      </c>
      <c r="F306" s="9" t="s">
        <v>125</v>
      </c>
      <c r="G306" s="5" t="str">
        <f>VLOOKUP(D306,Sheet3!A:C,3,0)</f>
        <v>SA168</v>
      </c>
    </row>
    <row r="307" spans="1:7" hidden="1" x14ac:dyDescent="0.3">
      <c r="A307" s="6" t="s">
        <v>527</v>
      </c>
      <c r="B307" s="6" t="s">
        <v>528</v>
      </c>
      <c r="C307" s="7" t="s">
        <v>529</v>
      </c>
      <c r="D307" s="7" t="s">
        <v>530</v>
      </c>
      <c r="E307" s="49" t="s">
        <v>529</v>
      </c>
      <c r="F307" s="9" t="s">
        <v>125</v>
      </c>
      <c r="G307" s="5" t="str">
        <f>VLOOKUP(D307,Sheet3!A:C,3,0)</f>
        <v>SA168</v>
      </c>
    </row>
    <row r="308" spans="1:7" hidden="1" x14ac:dyDescent="0.3">
      <c r="A308" s="6" t="s">
        <v>527</v>
      </c>
      <c r="B308" s="6" t="s">
        <v>528</v>
      </c>
      <c r="C308" s="7" t="s">
        <v>529</v>
      </c>
      <c r="D308" s="7" t="s">
        <v>530</v>
      </c>
      <c r="E308" s="49" t="s">
        <v>529</v>
      </c>
      <c r="F308" s="9" t="s">
        <v>125</v>
      </c>
      <c r="G308" s="5" t="str">
        <f>VLOOKUP(D308,Sheet3!A:C,3,0)</f>
        <v>SA168</v>
      </c>
    </row>
    <row r="309" spans="1:7" hidden="1" x14ac:dyDescent="0.3">
      <c r="A309" s="6" t="s">
        <v>527</v>
      </c>
      <c r="B309" s="6" t="s">
        <v>528</v>
      </c>
      <c r="C309" s="7" t="s">
        <v>529</v>
      </c>
      <c r="D309" s="7" t="s">
        <v>530</v>
      </c>
      <c r="E309" s="49" t="s">
        <v>529</v>
      </c>
      <c r="F309" s="9" t="s">
        <v>125</v>
      </c>
      <c r="G309" s="5" t="str">
        <f>VLOOKUP(D309,Sheet3!A:C,3,0)</f>
        <v>SA168</v>
      </c>
    </row>
    <row r="310" spans="1:7" hidden="1" x14ac:dyDescent="0.3">
      <c r="A310" s="6" t="s">
        <v>531</v>
      </c>
      <c r="B310" s="6" t="s">
        <v>532</v>
      </c>
      <c r="C310" s="7" t="s">
        <v>529</v>
      </c>
      <c r="D310" s="7" t="s">
        <v>533</v>
      </c>
      <c r="E310" s="49" t="s">
        <v>529</v>
      </c>
      <c r="F310" s="9" t="s">
        <v>125</v>
      </c>
      <c r="G310" s="5" t="str">
        <f>VLOOKUP(D310,Sheet3!A:C,3,0)</f>
        <v>SA169</v>
      </c>
    </row>
    <row r="311" spans="1:7" hidden="1" x14ac:dyDescent="0.3">
      <c r="A311" s="6" t="s">
        <v>534</v>
      </c>
      <c r="B311" s="6" t="s">
        <v>535</v>
      </c>
      <c r="C311" s="7" t="s">
        <v>529</v>
      </c>
      <c r="D311" s="7" t="s">
        <v>536</v>
      </c>
      <c r="E311" s="49" t="s">
        <v>529</v>
      </c>
      <c r="F311" s="9" t="s">
        <v>125</v>
      </c>
      <c r="G311" s="5" t="str">
        <f>VLOOKUP(D311,Sheet3!A:C,3,0)</f>
        <v>SA170</v>
      </c>
    </row>
    <row r="312" spans="1:7" hidden="1" x14ac:dyDescent="0.3">
      <c r="A312" s="6" t="s">
        <v>537</v>
      </c>
      <c r="B312" s="6" t="s">
        <v>538</v>
      </c>
      <c r="C312" s="7" t="s">
        <v>529</v>
      </c>
      <c r="D312" s="7" t="s">
        <v>538</v>
      </c>
      <c r="E312" s="49" t="s">
        <v>529</v>
      </c>
      <c r="F312" s="9" t="s">
        <v>125</v>
      </c>
      <c r="G312" s="5" t="str">
        <f>VLOOKUP(D312,Sheet3!A:C,3,0)</f>
        <v>SA171</v>
      </c>
    </row>
    <row r="313" spans="1:7" ht="22.5" hidden="1" x14ac:dyDescent="0.3">
      <c r="A313" s="6" t="s">
        <v>539</v>
      </c>
      <c r="B313" s="6" t="s">
        <v>540</v>
      </c>
      <c r="C313" s="10" t="s">
        <v>267</v>
      </c>
      <c r="D313" s="10" t="s">
        <v>541</v>
      </c>
      <c r="E313" s="49" t="s">
        <v>542</v>
      </c>
      <c r="F313" s="9" t="s">
        <v>249</v>
      </c>
      <c r="G313" s="5" t="str">
        <f>VLOOKUP(D313,Sheet3!A:C,3,0)</f>
        <v>SA172</v>
      </c>
    </row>
    <row r="314" spans="1:7" ht="22.5" hidden="1" x14ac:dyDescent="0.3">
      <c r="A314" s="6" t="s">
        <v>539</v>
      </c>
      <c r="B314" s="6" t="s">
        <v>540</v>
      </c>
      <c r="C314" s="10" t="s">
        <v>267</v>
      </c>
      <c r="D314" s="10" t="s">
        <v>543</v>
      </c>
      <c r="E314" s="49" t="s">
        <v>542</v>
      </c>
      <c r="F314" s="9" t="s">
        <v>249</v>
      </c>
      <c r="G314" s="5" t="str">
        <f>VLOOKUP(D314,Sheet3!A:C,3,0)</f>
        <v>SA173</v>
      </c>
    </row>
    <row r="315" spans="1:7" hidden="1" x14ac:dyDescent="0.3">
      <c r="A315" s="6" t="s">
        <v>544</v>
      </c>
      <c r="B315" s="6" t="s">
        <v>545</v>
      </c>
      <c r="C315" s="10" t="s">
        <v>267</v>
      </c>
      <c r="D315" s="7" t="s">
        <v>546</v>
      </c>
      <c r="E315" s="49" t="s">
        <v>547</v>
      </c>
      <c r="F315" s="9" t="s">
        <v>595</v>
      </c>
      <c r="G315" s="5" t="str">
        <f>VLOOKUP(D315,Sheet3!A:C,3,0)</f>
        <v>SA174</v>
      </c>
    </row>
    <row r="316" spans="1:7" hidden="1" x14ac:dyDescent="0.3">
      <c r="A316" s="6" t="s">
        <v>548</v>
      </c>
      <c r="B316" s="6" t="s">
        <v>549</v>
      </c>
      <c r="C316" s="7" t="s">
        <v>500</v>
      </c>
      <c r="D316" s="7" t="s">
        <v>549</v>
      </c>
      <c r="E316" s="49" t="s">
        <v>200</v>
      </c>
      <c r="F316" s="9" t="s">
        <v>18</v>
      </c>
      <c r="G316" s="5" t="str">
        <f>VLOOKUP(D316,Sheet3!A:C,3,0)</f>
        <v>SA178</v>
      </c>
    </row>
    <row r="317" spans="1:7" hidden="1" x14ac:dyDescent="0.3">
      <c r="A317" s="6" t="s">
        <v>550</v>
      </c>
      <c r="B317" s="6" t="s">
        <v>551</v>
      </c>
      <c r="C317" s="7" t="s">
        <v>500</v>
      </c>
      <c r="D317" s="7" t="s">
        <v>551</v>
      </c>
      <c r="E317" s="49" t="s">
        <v>552</v>
      </c>
      <c r="F317" s="9" t="s">
        <v>18</v>
      </c>
      <c r="G317" s="5" t="str">
        <f>VLOOKUP(D317,Sheet3!A:C,3,0)</f>
        <v>SA179</v>
      </c>
    </row>
    <row r="318" spans="1:7" hidden="1" x14ac:dyDescent="0.3">
      <c r="A318" s="18" t="s">
        <v>372</v>
      </c>
      <c r="B318" s="18" t="s">
        <v>373</v>
      </c>
      <c r="C318" s="26" t="s">
        <v>553</v>
      </c>
      <c r="D318" s="26" t="s">
        <v>554</v>
      </c>
      <c r="E318" s="56" t="s">
        <v>555</v>
      </c>
      <c r="F318" s="27" t="s">
        <v>249</v>
      </c>
      <c r="G318" s="77" t="str">
        <f>VLOOKUP(D318,Sheet3!A:C,3,0)</f>
        <v>ZY157</v>
      </c>
    </row>
    <row r="319" spans="1:7" hidden="1" x14ac:dyDescent="0.3">
      <c r="A319" s="18" t="s">
        <v>372</v>
      </c>
      <c r="B319" s="18" t="s">
        <v>373</v>
      </c>
      <c r="C319" s="26" t="s">
        <v>553</v>
      </c>
      <c r="D319" s="26" t="s">
        <v>556</v>
      </c>
      <c r="E319" s="56" t="s">
        <v>555</v>
      </c>
      <c r="F319" s="27" t="s">
        <v>249</v>
      </c>
      <c r="G319" s="77" t="str">
        <f>VLOOKUP(D319,Sheet3!A:C,3,0)</f>
        <v>ZY158</v>
      </c>
    </row>
    <row r="320" spans="1:7" hidden="1" x14ac:dyDescent="0.3">
      <c r="A320" s="18" t="s">
        <v>372</v>
      </c>
      <c r="B320" s="18" t="s">
        <v>373</v>
      </c>
      <c r="C320" s="26" t="s">
        <v>553</v>
      </c>
      <c r="D320" s="26" t="s">
        <v>557</v>
      </c>
      <c r="E320" s="56" t="s">
        <v>555</v>
      </c>
      <c r="F320" s="27" t="s">
        <v>249</v>
      </c>
      <c r="G320" s="77" t="str">
        <f>VLOOKUP(D320,Sheet3!A:C,3,0)</f>
        <v>ZY159</v>
      </c>
    </row>
    <row r="321" spans="1:7" hidden="1" x14ac:dyDescent="0.3">
      <c r="A321" s="18" t="s">
        <v>372</v>
      </c>
      <c r="B321" s="18" t="s">
        <v>373</v>
      </c>
      <c r="C321" s="26" t="s">
        <v>553</v>
      </c>
      <c r="D321" s="26" t="s">
        <v>558</v>
      </c>
      <c r="E321" s="56" t="s">
        <v>555</v>
      </c>
      <c r="F321" s="27" t="s">
        <v>249</v>
      </c>
      <c r="G321" s="77" t="str">
        <f>VLOOKUP(D321,Sheet3!A:C,3,0)</f>
        <v>ZY160</v>
      </c>
    </row>
    <row r="322" spans="1:7" hidden="1" x14ac:dyDescent="0.3">
      <c r="A322" s="18" t="s">
        <v>372</v>
      </c>
      <c r="B322" s="18" t="s">
        <v>373</v>
      </c>
      <c r="C322" s="26" t="s">
        <v>553</v>
      </c>
      <c r="D322" s="26" t="s">
        <v>559</v>
      </c>
      <c r="E322" s="56" t="s">
        <v>555</v>
      </c>
      <c r="F322" s="27" t="s">
        <v>249</v>
      </c>
      <c r="G322" s="77" t="str">
        <f>VLOOKUP(D322,Sheet3!A:C,3,0)</f>
        <v>ZY161</v>
      </c>
    </row>
    <row r="323" spans="1:7" hidden="1" x14ac:dyDescent="0.3">
      <c r="A323" s="18" t="s">
        <v>13</v>
      </c>
      <c r="B323" s="18" t="s">
        <v>14</v>
      </c>
      <c r="C323" s="26" t="s">
        <v>553</v>
      </c>
      <c r="D323" s="26" t="s">
        <v>560</v>
      </c>
      <c r="E323" s="56" t="s">
        <v>555</v>
      </c>
      <c r="F323" s="27" t="s">
        <v>249</v>
      </c>
      <c r="G323" s="77" t="str">
        <f>VLOOKUP(D323,Sheet3!A:C,3,0)</f>
        <v>ZY162</v>
      </c>
    </row>
    <row r="324" spans="1:7" hidden="1" x14ac:dyDescent="0.3">
      <c r="A324" s="18" t="s">
        <v>33</v>
      </c>
      <c r="B324" s="18" t="s">
        <v>34</v>
      </c>
      <c r="C324" s="26" t="s">
        <v>553</v>
      </c>
      <c r="D324" s="26" t="s">
        <v>561</v>
      </c>
      <c r="E324" s="56" t="s">
        <v>555</v>
      </c>
      <c r="F324" s="27" t="s">
        <v>249</v>
      </c>
      <c r="G324" s="77" t="str">
        <f>VLOOKUP(D324,Sheet3!A:C,3,0)</f>
        <v>ZY163</v>
      </c>
    </row>
    <row r="325" spans="1:7" hidden="1" x14ac:dyDescent="0.3">
      <c r="A325" s="18" t="s">
        <v>250</v>
      </c>
      <c r="B325" s="18" t="s">
        <v>251</v>
      </c>
      <c r="C325" s="26" t="s">
        <v>553</v>
      </c>
      <c r="D325" s="26" t="s">
        <v>562</v>
      </c>
      <c r="E325" s="56" t="s">
        <v>555</v>
      </c>
      <c r="F325" s="27" t="s">
        <v>249</v>
      </c>
      <c r="G325" s="77" t="str">
        <f>VLOOKUP(D325,Sheet3!A:C,3,0)</f>
        <v>ZY164</v>
      </c>
    </row>
    <row r="326" spans="1:7" hidden="1" x14ac:dyDescent="0.3">
      <c r="A326" s="18" t="s">
        <v>468</v>
      </c>
      <c r="B326" s="18" t="s">
        <v>469</v>
      </c>
      <c r="C326" s="26" t="s">
        <v>553</v>
      </c>
      <c r="D326" s="26" t="s">
        <v>563</v>
      </c>
      <c r="E326" s="56" t="s">
        <v>555</v>
      </c>
      <c r="F326" s="27" t="s">
        <v>249</v>
      </c>
      <c r="G326" s="77" t="str">
        <f>VLOOKUP(D326,Sheet3!A:C,3,0)</f>
        <v>ZY165</v>
      </c>
    </row>
    <row r="327" spans="1:7" hidden="1" x14ac:dyDescent="0.3">
      <c r="A327" s="18" t="s">
        <v>372</v>
      </c>
      <c r="B327" s="18" t="s">
        <v>373</v>
      </c>
      <c r="C327" s="26" t="s">
        <v>553</v>
      </c>
      <c r="D327" s="26" t="s">
        <v>564</v>
      </c>
      <c r="E327" s="56" t="s">
        <v>555</v>
      </c>
      <c r="F327" s="27" t="s">
        <v>249</v>
      </c>
      <c r="G327" s="5" t="str">
        <f>VLOOKUP(D327,Sheet3!A:C,3,0)</f>
        <v>ZY166</v>
      </c>
    </row>
    <row r="328" spans="1:7" hidden="1" x14ac:dyDescent="0.3">
      <c r="A328" s="18" t="s">
        <v>372</v>
      </c>
      <c r="B328" s="18" t="s">
        <v>373</v>
      </c>
      <c r="C328" s="26" t="s">
        <v>553</v>
      </c>
      <c r="D328" s="26" t="s">
        <v>565</v>
      </c>
      <c r="E328" s="57" t="s">
        <v>376</v>
      </c>
      <c r="F328" s="27" t="s">
        <v>137</v>
      </c>
      <c r="G328" s="5" t="str">
        <f>VLOOKUP(D328,Sheet3!A:C,3,0)</f>
        <v>ZY167</v>
      </c>
    </row>
    <row r="329" spans="1:7" hidden="1" x14ac:dyDescent="0.3">
      <c r="A329" s="18" t="s">
        <v>372</v>
      </c>
      <c r="B329" s="18" t="s">
        <v>373</v>
      </c>
      <c r="C329" s="26" t="s">
        <v>553</v>
      </c>
      <c r="D329" s="26" t="s">
        <v>566</v>
      </c>
      <c r="E329" s="57" t="s">
        <v>385</v>
      </c>
      <c r="F329" s="27" t="s">
        <v>386</v>
      </c>
      <c r="G329" s="5" t="str">
        <f>VLOOKUP(D329,Sheet3!A:C,3,0)</f>
        <v>ZY168</v>
      </c>
    </row>
    <row r="330" spans="1:7" hidden="1" x14ac:dyDescent="0.3">
      <c r="A330" s="18" t="s">
        <v>372</v>
      </c>
      <c r="B330" s="18" t="s">
        <v>373</v>
      </c>
      <c r="C330" s="26" t="s">
        <v>553</v>
      </c>
      <c r="D330" s="26" t="s">
        <v>567</v>
      </c>
      <c r="E330" s="58" t="s">
        <v>381</v>
      </c>
      <c r="F330" s="27" t="s">
        <v>249</v>
      </c>
      <c r="G330" s="5" t="str">
        <f>VLOOKUP(D330,Sheet3!A:C,3,0)</f>
        <v>ZY36</v>
      </c>
    </row>
    <row r="331" spans="1:7" hidden="1" x14ac:dyDescent="0.3">
      <c r="A331" s="18" t="s">
        <v>372</v>
      </c>
      <c r="B331" s="18" t="s">
        <v>373</v>
      </c>
      <c r="C331" s="26" t="s">
        <v>553</v>
      </c>
      <c r="D331" s="26" t="s">
        <v>568</v>
      </c>
      <c r="E331" s="58" t="s">
        <v>383</v>
      </c>
      <c r="F331" s="27" t="s">
        <v>249</v>
      </c>
      <c r="G331" s="5" t="str">
        <f>VLOOKUP(D331,Sheet3!A:C,3,0)</f>
        <v>ZY37</v>
      </c>
    </row>
    <row r="332" spans="1:7" hidden="1" x14ac:dyDescent="0.3">
      <c r="A332" s="18" t="s">
        <v>372</v>
      </c>
      <c r="B332" s="18" t="s">
        <v>373</v>
      </c>
      <c r="C332" s="26" t="s">
        <v>553</v>
      </c>
      <c r="D332" s="26" t="s">
        <v>569</v>
      </c>
      <c r="E332" s="58" t="s">
        <v>383</v>
      </c>
      <c r="F332" s="27" t="s">
        <v>249</v>
      </c>
      <c r="G332" s="5" t="str">
        <f>VLOOKUP(D332,Sheet3!A:C,3,0)</f>
        <v>ZY38</v>
      </c>
    </row>
    <row r="333" spans="1:7" hidden="1" x14ac:dyDescent="0.3">
      <c r="A333" s="18" t="s">
        <v>372</v>
      </c>
      <c r="B333" s="18" t="s">
        <v>373</v>
      </c>
      <c r="C333" s="26" t="s">
        <v>553</v>
      </c>
      <c r="D333" s="26" t="s">
        <v>570</v>
      </c>
      <c r="E333" s="58" t="s">
        <v>383</v>
      </c>
      <c r="F333" s="27" t="s">
        <v>249</v>
      </c>
      <c r="G333" s="5" t="str">
        <f>VLOOKUP(D333,Sheet3!A:C,3,0)</f>
        <v>ZY39</v>
      </c>
    </row>
    <row r="334" spans="1:7" hidden="1" x14ac:dyDescent="0.3">
      <c r="A334" s="18" t="s">
        <v>372</v>
      </c>
      <c r="B334" s="18" t="s">
        <v>373</v>
      </c>
      <c r="C334" s="26" t="s">
        <v>553</v>
      </c>
      <c r="D334" s="26" t="s">
        <v>571</v>
      </c>
      <c r="E334" s="58" t="s">
        <v>383</v>
      </c>
      <c r="F334" s="27" t="s">
        <v>249</v>
      </c>
      <c r="G334" s="5" t="str">
        <f>VLOOKUP(D334,Sheet3!A:C,3,0)</f>
        <v>ZY44</v>
      </c>
    </row>
    <row r="335" spans="1:7" hidden="1" x14ac:dyDescent="0.3">
      <c r="A335" s="18" t="s">
        <v>372</v>
      </c>
      <c r="B335" s="18" t="s">
        <v>373</v>
      </c>
      <c r="C335" s="26" t="s">
        <v>553</v>
      </c>
      <c r="D335" s="26" t="s">
        <v>572</v>
      </c>
      <c r="E335" s="58" t="s">
        <v>383</v>
      </c>
      <c r="F335" s="27" t="s">
        <v>249</v>
      </c>
      <c r="G335" s="5" t="str">
        <f>VLOOKUP(D335,Sheet3!A:C,3,0)</f>
        <v>ZY41</v>
      </c>
    </row>
    <row r="336" spans="1:7" hidden="1" x14ac:dyDescent="0.3">
      <c r="A336" s="18" t="s">
        <v>372</v>
      </c>
      <c r="B336" s="18" t="s">
        <v>373</v>
      </c>
      <c r="C336" s="26" t="s">
        <v>553</v>
      </c>
      <c r="D336" s="26" t="s">
        <v>573</v>
      </c>
      <c r="E336" s="58" t="s">
        <v>383</v>
      </c>
      <c r="F336" s="27" t="s">
        <v>249</v>
      </c>
      <c r="G336" s="5" t="str">
        <f>VLOOKUP(D336,Sheet3!A:C,3,0)</f>
        <v>ZY42</v>
      </c>
    </row>
    <row r="337" spans="1:7" hidden="1" x14ac:dyDescent="0.3">
      <c r="A337" s="18" t="s">
        <v>372</v>
      </c>
      <c r="B337" s="18" t="s">
        <v>373</v>
      </c>
      <c r="C337" s="26" t="s">
        <v>553</v>
      </c>
      <c r="D337" s="26" t="s">
        <v>574</v>
      </c>
      <c r="E337" s="58" t="s">
        <v>383</v>
      </c>
      <c r="F337" s="27" t="s">
        <v>249</v>
      </c>
      <c r="G337" s="5" t="str">
        <f>VLOOKUP(D337,Sheet3!A:C,3,0)</f>
        <v>ZY43</v>
      </c>
    </row>
    <row r="338" spans="1:7" hidden="1" x14ac:dyDescent="0.3">
      <c r="A338" s="18" t="s">
        <v>372</v>
      </c>
      <c r="B338" s="18" t="s">
        <v>373</v>
      </c>
      <c r="C338" s="26" t="s">
        <v>553</v>
      </c>
      <c r="D338" s="26" t="s">
        <v>575</v>
      </c>
      <c r="E338" s="58" t="s">
        <v>383</v>
      </c>
      <c r="F338" s="27" t="s">
        <v>249</v>
      </c>
      <c r="G338" s="5" t="str">
        <f>VLOOKUP(D338,Sheet3!A:C,3,0)</f>
        <v>ZY40</v>
      </c>
    </row>
    <row r="339" spans="1:7" hidden="1" x14ac:dyDescent="0.3">
      <c r="A339" s="18" t="s">
        <v>372</v>
      </c>
      <c r="B339" s="18" t="s">
        <v>373</v>
      </c>
      <c r="C339" s="26" t="s">
        <v>553</v>
      </c>
      <c r="D339" s="26" t="s">
        <v>576</v>
      </c>
      <c r="E339" s="58" t="s">
        <v>383</v>
      </c>
      <c r="F339" s="27" t="s">
        <v>249</v>
      </c>
      <c r="G339" s="5" t="str">
        <f>VLOOKUP(D339,Sheet3!A:C,3,0)</f>
        <v>ZY45</v>
      </c>
    </row>
    <row r="340" spans="1:7" hidden="1" x14ac:dyDescent="0.3">
      <c r="A340" s="18" t="s">
        <v>372</v>
      </c>
      <c r="B340" s="18" t="s">
        <v>373</v>
      </c>
      <c r="C340" s="26" t="s">
        <v>553</v>
      </c>
      <c r="D340" s="26" t="s">
        <v>577</v>
      </c>
      <c r="E340" s="58" t="s">
        <v>383</v>
      </c>
      <c r="F340" s="27" t="s">
        <v>249</v>
      </c>
      <c r="G340" s="5" t="str">
        <f>VLOOKUP(D340,Sheet3!A:C,3,0)</f>
        <v>ZY46</v>
      </c>
    </row>
    <row r="341" spans="1:7" hidden="1" x14ac:dyDescent="0.3">
      <c r="A341" s="18" t="s">
        <v>372</v>
      </c>
      <c r="B341" s="18" t="s">
        <v>373</v>
      </c>
      <c r="C341" s="26" t="s">
        <v>553</v>
      </c>
      <c r="D341" s="26" t="s">
        <v>578</v>
      </c>
      <c r="E341" s="58" t="s">
        <v>383</v>
      </c>
      <c r="F341" s="27" t="s">
        <v>249</v>
      </c>
      <c r="G341" s="5" t="str">
        <f>VLOOKUP(D341,Sheet3!A:C,3,0)</f>
        <v>ZY47</v>
      </c>
    </row>
    <row r="342" spans="1:7" hidden="1" x14ac:dyDescent="0.3">
      <c r="A342" s="18" t="s">
        <v>372</v>
      </c>
      <c r="B342" s="18" t="s">
        <v>373</v>
      </c>
      <c r="C342" s="26" t="s">
        <v>553</v>
      </c>
      <c r="D342" s="26" t="s">
        <v>579</v>
      </c>
      <c r="E342" s="59" t="s">
        <v>383</v>
      </c>
      <c r="F342" s="27" t="s">
        <v>249</v>
      </c>
      <c r="G342" s="5" t="str">
        <f>VLOOKUP(D342,Sheet3!A:C,3,0)</f>
        <v>ZY48</v>
      </c>
    </row>
    <row r="343" spans="1:7" hidden="1" x14ac:dyDescent="0.3">
      <c r="A343" s="18" t="s">
        <v>372</v>
      </c>
      <c r="B343" s="18" t="s">
        <v>373</v>
      </c>
      <c r="C343" s="26" t="s">
        <v>553</v>
      </c>
      <c r="D343" s="26" t="s">
        <v>580</v>
      </c>
      <c r="E343" s="59" t="s">
        <v>383</v>
      </c>
      <c r="F343" s="27" t="s">
        <v>249</v>
      </c>
      <c r="G343" s="5" t="str">
        <f>VLOOKUP(D343,Sheet3!A:C,3,0)</f>
        <v>ZY49</v>
      </c>
    </row>
    <row r="344" spans="1:7" hidden="1" x14ac:dyDescent="0.3">
      <c r="A344" s="18" t="s">
        <v>372</v>
      </c>
      <c r="B344" s="18" t="s">
        <v>373</v>
      </c>
      <c r="C344" s="26" t="s">
        <v>553</v>
      </c>
      <c r="D344" s="26" t="s">
        <v>581</v>
      </c>
      <c r="E344" s="59" t="s">
        <v>383</v>
      </c>
      <c r="F344" s="27" t="s">
        <v>249</v>
      </c>
      <c r="G344" s="5" t="str">
        <f>VLOOKUP(D344,Sheet3!A:C,3,0)</f>
        <v>ZY50</v>
      </c>
    </row>
    <row r="345" spans="1:7" hidden="1" x14ac:dyDescent="0.3">
      <c r="A345" s="18" t="s">
        <v>372</v>
      </c>
      <c r="B345" s="18" t="s">
        <v>373</v>
      </c>
      <c r="C345" s="26" t="s">
        <v>553</v>
      </c>
      <c r="D345" s="26" t="s">
        <v>582</v>
      </c>
      <c r="E345" s="59" t="s">
        <v>383</v>
      </c>
      <c r="F345" s="27" t="s">
        <v>249</v>
      </c>
      <c r="G345" s="5" t="str">
        <f>VLOOKUP(D345,Sheet3!A:C,3,0)</f>
        <v>ZY51</v>
      </c>
    </row>
    <row r="346" spans="1:7" hidden="1" x14ac:dyDescent="0.3">
      <c r="A346" s="18" t="s">
        <v>372</v>
      </c>
      <c r="B346" s="18" t="s">
        <v>373</v>
      </c>
      <c r="C346" s="26" t="s">
        <v>553</v>
      </c>
      <c r="D346" s="26" t="s">
        <v>583</v>
      </c>
      <c r="E346" s="59" t="s">
        <v>383</v>
      </c>
      <c r="F346" s="27" t="s">
        <v>249</v>
      </c>
      <c r="G346" s="5" t="str">
        <f>VLOOKUP(D346,Sheet3!A:C,3,0)</f>
        <v>ZY52</v>
      </c>
    </row>
    <row r="347" spans="1:7" hidden="1" x14ac:dyDescent="0.3">
      <c r="A347" s="18" t="s">
        <v>372</v>
      </c>
      <c r="B347" s="18" t="s">
        <v>373</v>
      </c>
      <c r="C347" s="26" t="s">
        <v>553</v>
      </c>
      <c r="D347" s="26" t="s">
        <v>584</v>
      </c>
      <c r="E347" s="59" t="s">
        <v>383</v>
      </c>
      <c r="F347" s="27" t="s">
        <v>249</v>
      </c>
      <c r="G347" s="5" t="str">
        <f>VLOOKUP(D347,Sheet3!A:C,3,0)</f>
        <v>ZY53</v>
      </c>
    </row>
    <row r="348" spans="1:7" hidden="1" x14ac:dyDescent="0.3">
      <c r="A348" s="18" t="s">
        <v>372</v>
      </c>
      <c r="B348" s="18" t="s">
        <v>373</v>
      </c>
      <c r="C348" s="26" t="s">
        <v>553</v>
      </c>
      <c r="D348" s="26" t="s">
        <v>585</v>
      </c>
      <c r="E348" s="59" t="s">
        <v>383</v>
      </c>
      <c r="F348" s="27" t="s">
        <v>249</v>
      </c>
      <c r="G348" s="5" t="str">
        <f>VLOOKUP(D348,Sheet3!A:C,3,0)</f>
        <v>ZY54</v>
      </c>
    </row>
    <row r="349" spans="1:7" hidden="1" x14ac:dyDescent="0.3">
      <c r="A349" s="18" t="s">
        <v>372</v>
      </c>
      <c r="B349" s="18" t="s">
        <v>373</v>
      </c>
      <c r="C349" s="26" t="s">
        <v>553</v>
      </c>
      <c r="D349" s="26" t="s">
        <v>586</v>
      </c>
      <c r="E349" s="59" t="s">
        <v>383</v>
      </c>
      <c r="F349" s="27" t="s">
        <v>249</v>
      </c>
      <c r="G349" s="5" t="str">
        <f>VLOOKUP(D349,Sheet3!A:C,3,0)</f>
        <v>ZY169</v>
      </c>
    </row>
    <row r="350" spans="1:7" hidden="1" x14ac:dyDescent="0.3">
      <c r="A350" s="18" t="s">
        <v>372</v>
      </c>
      <c r="B350" s="18" t="s">
        <v>373</v>
      </c>
      <c r="C350" s="26" t="s">
        <v>553</v>
      </c>
      <c r="D350" s="26" t="s">
        <v>587</v>
      </c>
      <c r="E350" s="59" t="s">
        <v>383</v>
      </c>
      <c r="F350" s="27" t="s">
        <v>249</v>
      </c>
      <c r="G350" s="5" t="str">
        <f>VLOOKUP(D350,Sheet3!A:C,3,0)</f>
        <v>ZY170</v>
      </c>
    </row>
    <row r="351" spans="1:7" hidden="1" x14ac:dyDescent="0.3">
      <c r="A351" s="18" t="s">
        <v>372</v>
      </c>
      <c r="B351" s="18" t="s">
        <v>373</v>
      </c>
      <c r="C351" s="26" t="s">
        <v>553</v>
      </c>
      <c r="D351" s="26" t="s">
        <v>588</v>
      </c>
      <c r="E351" s="59" t="s">
        <v>383</v>
      </c>
      <c r="F351" s="27" t="s">
        <v>249</v>
      </c>
      <c r="G351" s="5" t="str">
        <f>VLOOKUP(D351,Sheet3!A:C,3,0)</f>
        <v>ZY171</v>
      </c>
    </row>
    <row r="352" spans="1:7" hidden="1" x14ac:dyDescent="0.3">
      <c r="A352" s="18" t="s">
        <v>372</v>
      </c>
      <c r="B352" s="18" t="s">
        <v>373</v>
      </c>
      <c r="C352" s="26" t="s">
        <v>553</v>
      </c>
      <c r="D352" s="26" t="s">
        <v>589</v>
      </c>
      <c r="E352" s="59" t="s">
        <v>383</v>
      </c>
      <c r="F352" s="27" t="s">
        <v>249</v>
      </c>
      <c r="G352" s="5" t="str">
        <f>VLOOKUP(D352,Sheet3!A:C,3,0)</f>
        <v>ZY172</v>
      </c>
    </row>
    <row r="353" spans="1:7" hidden="1" x14ac:dyDescent="0.3">
      <c r="A353" s="18" t="s">
        <v>372</v>
      </c>
      <c r="B353" s="18" t="s">
        <v>373</v>
      </c>
      <c r="C353" s="26" t="s">
        <v>553</v>
      </c>
      <c r="D353" s="26" t="s">
        <v>590</v>
      </c>
      <c r="E353" s="59" t="s">
        <v>383</v>
      </c>
      <c r="F353" s="27" t="s">
        <v>249</v>
      </c>
      <c r="G353" s="5" t="str">
        <f>VLOOKUP(D353,Sheet3!A:C,3,0)</f>
        <v>ZY173</v>
      </c>
    </row>
    <row r="354" spans="1:7" hidden="1" x14ac:dyDescent="0.3">
      <c r="A354" s="18" t="s">
        <v>372</v>
      </c>
      <c r="B354" s="18" t="s">
        <v>373</v>
      </c>
      <c r="C354" s="26" t="s">
        <v>553</v>
      </c>
      <c r="D354" s="26" t="s">
        <v>591</v>
      </c>
      <c r="E354" s="59" t="s">
        <v>383</v>
      </c>
      <c r="F354" s="27" t="s">
        <v>249</v>
      </c>
      <c r="G354" s="5" t="str">
        <f>VLOOKUP(D354,Sheet3!A:C,3,0)</f>
        <v>ZY174</v>
      </c>
    </row>
  </sheetData>
  <autoFilter ref="A1:G354">
    <filterColumn colId="6">
      <filters>
        <filter val="SA186"/>
      </filters>
    </filterColumn>
  </autoFilter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workbookViewId="0">
      <selection activeCell="H29" sqref="H29"/>
    </sheetView>
  </sheetViews>
  <sheetFormatPr defaultRowHeight="13.5" x14ac:dyDescent="0.3"/>
  <cols>
    <col min="1" max="1" width="11.1328125" bestFit="1" customWidth="1"/>
    <col min="2" max="2" width="19.9296875" bestFit="1" customWidth="1"/>
    <col min="3" max="3" width="20.86328125" bestFit="1" customWidth="1"/>
    <col min="4" max="4" width="25" bestFit="1" customWidth="1"/>
    <col min="5" max="5" width="11.1328125" bestFit="1" customWidth="1"/>
    <col min="6" max="6" width="22.6640625" bestFit="1" customWidth="1"/>
    <col min="7" max="7" width="6.06640625" bestFit="1" customWidth="1"/>
    <col min="8" max="8" width="12.86328125" bestFit="1" customWidth="1"/>
  </cols>
  <sheetData>
    <row r="1" spans="1:8" ht="22.5" x14ac:dyDescent="0.3">
      <c r="A1" s="1" t="s">
        <v>0</v>
      </c>
      <c r="B1" s="1" t="s">
        <v>1</v>
      </c>
      <c r="C1" s="2" t="s">
        <v>2</v>
      </c>
      <c r="D1" s="3" t="s">
        <v>3</v>
      </c>
      <c r="E1" s="48" t="s">
        <v>4</v>
      </c>
      <c r="F1" s="4" t="s">
        <v>5</v>
      </c>
      <c r="G1" s="5" t="s">
        <v>1310</v>
      </c>
    </row>
    <row r="2" spans="1:8" x14ac:dyDescent="0.3">
      <c r="A2" s="18" t="s">
        <v>372</v>
      </c>
      <c r="B2" s="18" t="s">
        <v>373</v>
      </c>
      <c r="C2" s="26" t="s">
        <v>553</v>
      </c>
      <c r="D2" s="26" t="s">
        <v>554</v>
      </c>
      <c r="E2" s="56" t="s">
        <v>555</v>
      </c>
      <c r="F2" s="27" t="s">
        <v>249</v>
      </c>
      <c r="G2" s="77" t="s">
        <v>1272</v>
      </c>
      <c r="H2" t="s">
        <v>1311</v>
      </c>
    </row>
    <row r="3" spans="1:8" x14ac:dyDescent="0.3">
      <c r="A3" s="18" t="s">
        <v>372</v>
      </c>
      <c r="B3" s="18" t="s">
        <v>373</v>
      </c>
      <c r="C3" s="26" t="s">
        <v>553</v>
      </c>
      <c r="D3" s="26" t="s">
        <v>556</v>
      </c>
      <c r="E3" s="56" t="s">
        <v>555</v>
      </c>
      <c r="F3" s="27" t="s">
        <v>249</v>
      </c>
      <c r="G3" s="77" t="s">
        <v>1261</v>
      </c>
      <c r="H3" t="s">
        <v>1311</v>
      </c>
    </row>
    <row r="4" spans="1:8" x14ac:dyDescent="0.3">
      <c r="A4" s="18" t="s">
        <v>372</v>
      </c>
      <c r="B4" s="18" t="s">
        <v>373</v>
      </c>
      <c r="C4" s="26" t="s">
        <v>553</v>
      </c>
      <c r="D4" s="26" t="s">
        <v>557</v>
      </c>
      <c r="E4" s="56" t="s">
        <v>555</v>
      </c>
      <c r="F4" s="27" t="s">
        <v>249</v>
      </c>
      <c r="G4" s="77" t="s">
        <v>1269</v>
      </c>
      <c r="H4" t="s">
        <v>1311</v>
      </c>
    </row>
    <row r="5" spans="1:8" x14ac:dyDescent="0.3">
      <c r="A5" s="18" t="s">
        <v>372</v>
      </c>
      <c r="B5" s="18" t="s">
        <v>373</v>
      </c>
      <c r="C5" s="26" t="s">
        <v>553</v>
      </c>
      <c r="D5" s="26" t="s">
        <v>558</v>
      </c>
      <c r="E5" s="56" t="s">
        <v>555</v>
      </c>
      <c r="F5" s="27" t="s">
        <v>249</v>
      </c>
      <c r="G5" s="77" t="s">
        <v>1279</v>
      </c>
      <c r="H5" t="s">
        <v>1311</v>
      </c>
    </row>
    <row r="6" spans="1:8" x14ac:dyDescent="0.3">
      <c r="A6" s="18" t="s">
        <v>372</v>
      </c>
      <c r="B6" s="18" t="s">
        <v>373</v>
      </c>
      <c r="C6" s="26" t="s">
        <v>553</v>
      </c>
      <c r="D6" s="26" t="s">
        <v>559</v>
      </c>
      <c r="E6" s="56" t="s">
        <v>555</v>
      </c>
      <c r="F6" s="27" t="s">
        <v>249</v>
      </c>
      <c r="G6" s="77" t="s">
        <v>1260</v>
      </c>
      <c r="H6" t="s">
        <v>1311</v>
      </c>
    </row>
    <row r="7" spans="1:8" x14ac:dyDescent="0.3">
      <c r="A7" s="18" t="s">
        <v>13</v>
      </c>
      <c r="B7" s="18" t="s">
        <v>14</v>
      </c>
      <c r="C7" s="26" t="s">
        <v>553</v>
      </c>
      <c r="D7" s="26" t="s">
        <v>560</v>
      </c>
      <c r="E7" s="56" t="s">
        <v>555</v>
      </c>
      <c r="F7" s="27" t="s">
        <v>249</v>
      </c>
      <c r="G7" s="77" t="s">
        <v>1235</v>
      </c>
      <c r="H7" t="s">
        <v>1311</v>
      </c>
    </row>
    <row r="8" spans="1:8" x14ac:dyDescent="0.3">
      <c r="A8" s="18" t="s">
        <v>33</v>
      </c>
      <c r="B8" s="18" t="s">
        <v>34</v>
      </c>
      <c r="C8" s="26" t="s">
        <v>553</v>
      </c>
      <c r="D8" s="26" t="s">
        <v>561</v>
      </c>
      <c r="E8" s="56" t="s">
        <v>555</v>
      </c>
      <c r="F8" s="27" t="s">
        <v>249</v>
      </c>
      <c r="G8" s="77" t="s">
        <v>1233</v>
      </c>
      <c r="H8" t="s">
        <v>1311</v>
      </c>
    </row>
    <row r="9" spans="1:8" x14ac:dyDescent="0.3">
      <c r="A9" s="18" t="s">
        <v>250</v>
      </c>
      <c r="B9" s="18" t="s">
        <v>251</v>
      </c>
      <c r="C9" s="26" t="s">
        <v>553</v>
      </c>
      <c r="D9" s="26" t="s">
        <v>562</v>
      </c>
      <c r="E9" s="56" t="s">
        <v>555</v>
      </c>
      <c r="F9" s="27" t="s">
        <v>249</v>
      </c>
      <c r="G9" s="77" t="s">
        <v>1274</v>
      </c>
      <c r="H9" t="s">
        <v>1311</v>
      </c>
    </row>
    <row r="10" spans="1:8" x14ac:dyDescent="0.3">
      <c r="A10" s="18" t="s">
        <v>468</v>
      </c>
      <c r="B10" s="18" t="s">
        <v>469</v>
      </c>
      <c r="C10" s="26" t="s">
        <v>553</v>
      </c>
      <c r="D10" s="26" t="s">
        <v>563</v>
      </c>
      <c r="E10" s="56" t="s">
        <v>555</v>
      </c>
      <c r="F10" s="27" t="s">
        <v>249</v>
      </c>
      <c r="G10" s="77" t="s">
        <v>1234</v>
      </c>
      <c r="H10" t="s">
        <v>1311</v>
      </c>
    </row>
    <row r="17" spans="2:8" x14ac:dyDescent="0.3">
      <c r="B17" t="s">
        <v>1307</v>
      </c>
      <c r="C17" s="74" t="s">
        <v>1145</v>
      </c>
      <c r="D17" t="s">
        <v>1144</v>
      </c>
      <c r="H17" t="s">
        <v>1312</v>
      </c>
    </row>
    <row r="18" spans="2:8" x14ac:dyDescent="0.3">
      <c r="C18" s="74" t="s">
        <v>1135</v>
      </c>
      <c r="D18" t="s">
        <v>1134</v>
      </c>
      <c r="H18" t="s">
        <v>1312</v>
      </c>
    </row>
    <row r="19" spans="2:8" x14ac:dyDescent="0.3">
      <c r="C19" s="74" t="s">
        <v>1200</v>
      </c>
      <c r="D19" t="s">
        <v>1199</v>
      </c>
      <c r="H19" t="s">
        <v>1312</v>
      </c>
    </row>
    <row r="20" spans="2:8" x14ac:dyDescent="0.3">
      <c r="C20" s="74" t="s">
        <v>1198</v>
      </c>
      <c r="D20" t="s">
        <v>1197</v>
      </c>
      <c r="H20" t="s">
        <v>1312</v>
      </c>
    </row>
    <row r="21" spans="2:8" x14ac:dyDescent="0.3">
      <c r="C21" s="74" t="s">
        <v>1147</v>
      </c>
      <c r="D21" t="s">
        <v>1146</v>
      </c>
      <c r="H21" t="s">
        <v>1312</v>
      </c>
    </row>
    <row r="22" spans="2:8" x14ac:dyDescent="0.3">
      <c r="C22" s="74" t="s">
        <v>1202</v>
      </c>
      <c r="D22" t="s">
        <v>1201</v>
      </c>
      <c r="H22" t="s">
        <v>1312</v>
      </c>
    </row>
    <row r="23" spans="2:8" x14ac:dyDescent="0.3">
      <c r="C23" s="74" t="s">
        <v>1192</v>
      </c>
      <c r="D23" t="s">
        <v>1191</v>
      </c>
      <c r="H23" t="s">
        <v>1312</v>
      </c>
    </row>
    <row r="28" spans="2:8" ht="15" x14ac:dyDescent="0.3">
      <c r="C28" t="s">
        <v>1100</v>
      </c>
      <c r="D28" s="78" t="s">
        <v>311</v>
      </c>
      <c r="E28" s="74" t="s">
        <v>596</v>
      </c>
      <c r="H28" s="74" t="s">
        <v>1313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6"/>
  <sheetViews>
    <sheetView workbookViewId="0">
      <selection activeCell="E34" sqref="E34"/>
    </sheetView>
  </sheetViews>
  <sheetFormatPr defaultRowHeight="13.5" x14ac:dyDescent="0.3"/>
  <cols>
    <col min="2" max="2" width="11.265625" bestFit="1" customWidth="1"/>
    <col min="3" max="3" width="37.3984375" bestFit="1" customWidth="1"/>
  </cols>
  <sheetData>
    <row r="1" spans="2:5" x14ac:dyDescent="0.3">
      <c r="B1" t="s">
        <v>636</v>
      </c>
      <c r="C1" t="s">
        <v>637</v>
      </c>
    </row>
    <row r="2" spans="2:5" x14ac:dyDescent="0.3">
      <c r="B2" t="s">
        <v>638</v>
      </c>
      <c r="C2" t="s">
        <v>639</v>
      </c>
      <c r="D2" t="s">
        <v>726</v>
      </c>
    </row>
    <row r="3" spans="2:5" x14ac:dyDescent="0.3">
      <c r="B3" t="s">
        <v>640</v>
      </c>
      <c r="C3" t="s">
        <v>641</v>
      </c>
      <c r="E3" t="s">
        <v>727</v>
      </c>
    </row>
    <row r="4" spans="2:5" x14ac:dyDescent="0.3">
      <c r="B4" t="s">
        <v>642</v>
      </c>
      <c r="C4" t="s">
        <v>643</v>
      </c>
      <c r="D4" t="s">
        <v>743</v>
      </c>
    </row>
    <row r="5" spans="2:5" x14ac:dyDescent="0.3">
      <c r="B5" t="s">
        <v>644</v>
      </c>
      <c r="C5" t="s">
        <v>645</v>
      </c>
      <c r="D5" t="s">
        <v>736</v>
      </c>
    </row>
    <row r="6" spans="2:5" x14ac:dyDescent="0.3">
      <c r="B6" t="s">
        <v>646</v>
      </c>
      <c r="C6" t="s">
        <v>647</v>
      </c>
      <c r="D6" t="s">
        <v>728</v>
      </c>
    </row>
    <row r="7" spans="2:5" x14ac:dyDescent="0.3">
      <c r="B7" t="s">
        <v>648</v>
      </c>
      <c r="C7" t="s">
        <v>649</v>
      </c>
      <c r="D7" t="s">
        <v>738</v>
      </c>
    </row>
    <row r="8" spans="2:5" x14ac:dyDescent="0.3">
      <c r="B8" t="s">
        <v>650</v>
      </c>
      <c r="C8" t="s">
        <v>651</v>
      </c>
    </row>
    <row r="9" spans="2:5" x14ac:dyDescent="0.3">
      <c r="B9" t="s">
        <v>652</v>
      </c>
      <c r="C9" t="s">
        <v>653</v>
      </c>
    </row>
    <row r="10" spans="2:5" x14ac:dyDescent="0.3">
      <c r="B10" t="s">
        <v>654</v>
      </c>
      <c r="C10" t="s">
        <v>655</v>
      </c>
    </row>
    <row r="11" spans="2:5" x14ac:dyDescent="0.3">
      <c r="B11" t="s">
        <v>656</v>
      </c>
      <c r="C11" t="s">
        <v>657</v>
      </c>
    </row>
    <row r="12" spans="2:5" x14ac:dyDescent="0.3">
      <c r="B12" t="s">
        <v>658</v>
      </c>
      <c r="C12" t="s">
        <v>659</v>
      </c>
      <c r="D12" t="s">
        <v>729</v>
      </c>
    </row>
    <row r="13" spans="2:5" x14ac:dyDescent="0.3">
      <c r="B13" t="s">
        <v>660</v>
      </c>
      <c r="C13" t="s">
        <v>661</v>
      </c>
      <c r="E13" t="s">
        <v>727</v>
      </c>
    </row>
    <row r="14" spans="2:5" x14ac:dyDescent="0.3">
      <c r="B14" t="s">
        <v>662</v>
      </c>
      <c r="C14" t="s">
        <v>663</v>
      </c>
    </row>
    <row r="15" spans="2:5" x14ac:dyDescent="0.3">
      <c r="B15" s="33" t="s">
        <v>664</v>
      </c>
      <c r="C15" t="s">
        <v>665</v>
      </c>
    </row>
    <row r="16" spans="2:5" x14ac:dyDescent="0.3">
      <c r="B16" s="34" t="s">
        <v>666</v>
      </c>
      <c r="C16" t="s">
        <v>667</v>
      </c>
    </row>
    <row r="17" spans="2:5" x14ac:dyDescent="0.3">
      <c r="B17" s="33" t="s">
        <v>668</v>
      </c>
      <c r="C17" t="s">
        <v>669</v>
      </c>
    </row>
    <row r="18" spans="2:5" x14ac:dyDescent="0.3">
      <c r="B18" t="s">
        <v>670</v>
      </c>
      <c r="C18" t="s">
        <v>671</v>
      </c>
      <c r="D18" t="s">
        <v>730</v>
      </c>
    </row>
    <row r="19" spans="2:5" x14ac:dyDescent="0.3">
      <c r="B19" t="s">
        <v>672</v>
      </c>
      <c r="C19" t="s">
        <v>673</v>
      </c>
      <c r="D19" t="s">
        <v>731</v>
      </c>
    </row>
    <row r="20" spans="2:5" x14ac:dyDescent="0.3">
      <c r="B20" t="s">
        <v>674</v>
      </c>
      <c r="C20" t="s">
        <v>675</v>
      </c>
      <c r="D20" t="s">
        <v>732</v>
      </c>
    </row>
    <row r="21" spans="2:5" x14ac:dyDescent="0.3">
      <c r="B21" t="s">
        <v>676</v>
      </c>
      <c r="C21" t="s">
        <v>677</v>
      </c>
    </row>
    <row r="22" spans="2:5" x14ac:dyDescent="0.3">
      <c r="B22" t="s">
        <v>678</v>
      </c>
      <c r="C22" t="s">
        <v>679</v>
      </c>
      <c r="D22" t="s">
        <v>733</v>
      </c>
    </row>
    <row r="23" spans="2:5" x14ac:dyDescent="0.3">
      <c r="B23" t="s">
        <v>680</v>
      </c>
      <c r="C23" t="s">
        <v>681</v>
      </c>
      <c r="D23" t="s">
        <v>732</v>
      </c>
    </row>
    <row r="24" spans="2:5" x14ac:dyDescent="0.3">
      <c r="B24" t="s">
        <v>682</v>
      </c>
      <c r="C24" t="s">
        <v>683</v>
      </c>
      <c r="D24" t="s">
        <v>734</v>
      </c>
    </row>
    <row r="25" spans="2:5" x14ac:dyDescent="0.3">
      <c r="B25" t="s">
        <v>684</v>
      </c>
      <c r="C25" t="s">
        <v>685</v>
      </c>
    </row>
    <row r="26" spans="2:5" x14ac:dyDescent="0.3">
      <c r="B26" t="s">
        <v>686</v>
      </c>
      <c r="C26" t="s">
        <v>687</v>
      </c>
      <c r="D26" t="s">
        <v>734</v>
      </c>
    </row>
    <row r="27" spans="2:5" x14ac:dyDescent="0.3">
      <c r="B27" t="s">
        <v>688</v>
      </c>
      <c r="C27" t="s">
        <v>689</v>
      </c>
      <c r="D27" t="s">
        <v>737</v>
      </c>
    </row>
    <row r="28" spans="2:5" x14ac:dyDescent="0.3">
      <c r="B28" t="s">
        <v>690</v>
      </c>
      <c r="C28" t="s">
        <v>691</v>
      </c>
      <c r="D28" t="s">
        <v>737</v>
      </c>
      <c r="E28" t="s">
        <v>727</v>
      </c>
    </row>
    <row r="29" spans="2:5" x14ac:dyDescent="0.3">
      <c r="B29" t="s">
        <v>692</v>
      </c>
      <c r="C29" t="s">
        <v>693</v>
      </c>
      <c r="D29" t="s">
        <v>739</v>
      </c>
    </row>
    <row r="30" spans="2:5" x14ac:dyDescent="0.3">
      <c r="B30" t="s">
        <v>694</v>
      </c>
      <c r="C30" t="s">
        <v>695</v>
      </c>
      <c r="D30" t="s">
        <v>735</v>
      </c>
    </row>
    <row r="31" spans="2:5" x14ac:dyDescent="0.3">
      <c r="B31" s="33" t="s">
        <v>696</v>
      </c>
      <c r="C31" t="s">
        <v>697</v>
      </c>
    </row>
    <row r="32" spans="2:5" x14ac:dyDescent="0.3">
      <c r="B32" s="34" t="s">
        <v>698</v>
      </c>
      <c r="C32" t="s">
        <v>699</v>
      </c>
    </row>
    <row r="33" spans="2:4" x14ac:dyDescent="0.3">
      <c r="B33" t="s">
        <v>700</v>
      </c>
      <c r="C33" t="s">
        <v>701</v>
      </c>
      <c r="D33" t="s">
        <v>737</v>
      </c>
    </row>
    <row r="34" spans="2:4" x14ac:dyDescent="0.3">
      <c r="B34" t="s">
        <v>702</v>
      </c>
      <c r="C34" t="s">
        <v>703</v>
      </c>
    </row>
    <row r="35" spans="2:4" x14ac:dyDescent="0.3">
      <c r="B35" t="s">
        <v>704</v>
      </c>
      <c r="C35" t="s">
        <v>703</v>
      </c>
    </row>
    <row r="36" spans="2:4" x14ac:dyDescent="0.3">
      <c r="B36" t="s">
        <v>705</v>
      </c>
      <c r="C36" t="s">
        <v>706</v>
      </c>
      <c r="D36" t="s">
        <v>740</v>
      </c>
    </row>
    <row r="37" spans="2:4" x14ac:dyDescent="0.3">
      <c r="B37" t="s">
        <v>707</v>
      </c>
      <c r="C37" t="s">
        <v>708</v>
      </c>
      <c r="D37" t="s">
        <v>741</v>
      </c>
    </row>
    <row r="38" spans="2:4" x14ac:dyDescent="0.3">
      <c r="B38" t="s">
        <v>709</v>
      </c>
      <c r="C38" t="s">
        <v>710</v>
      </c>
      <c r="D38" t="s">
        <v>741</v>
      </c>
    </row>
    <row r="39" spans="2:4" x14ac:dyDescent="0.3">
      <c r="B39" t="s">
        <v>711</v>
      </c>
      <c r="C39" t="s">
        <v>712</v>
      </c>
      <c r="D39" t="s">
        <v>741</v>
      </c>
    </row>
    <row r="40" spans="2:4" x14ac:dyDescent="0.3">
      <c r="B40" t="s">
        <v>713</v>
      </c>
      <c r="C40" t="s">
        <v>714</v>
      </c>
      <c r="D40" t="s">
        <v>742</v>
      </c>
    </row>
    <row r="41" spans="2:4" x14ac:dyDescent="0.3">
      <c r="B41" t="s">
        <v>715</v>
      </c>
      <c r="C41" t="s">
        <v>716</v>
      </c>
      <c r="D41" t="s">
        <v>741</v>
      </c>
    </row>
    <row r="42" spans="2:4" x14ac:dyDescent="0.3">
      <c r="B42" t="s">
        <v>717</v>
      </c>
      <c r="C42" t="s">
        <v>718</v>
      </c>
      <c r="D42" t="s">
        <v>741</v>
      </c>
    </row>
    <row r="43" spans="2:4" x14ac:dyDescent="0.3">
      <c r="B43" t="s">
        <v>719</v>
      </c>
      <c r="C43" t="s">
        <v>720</v>
      </c>
      <c r="D43" t="s">
        <v>741</v>
      </c>
    </row>
    <row r="44" spans="2:4" x14ac:dyDescent="0.3">
      <c r="B44" t="s">
        <v>721</v>
      </c>
      <c r="C44" t="s">
        <v>722</v>
      </c>
      <c r="D44" t="s">
        <v>741</v>
      </c>
    </row>
    <row r="45" spans="2:4" x14ac:dyDescent="0.3">
      <c r="B45" s="33" t="s">
        <v>723</v>
      </c>
      <c r="C45" t="s">
        <v>724</v>
      </c>
    </row>
    <row r="46" spans="2:4" x14ac:dyDescent="0.3">
      <c r="B46" t="s">
        <v>725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2"/>
  <sheetViews>
    <sheetView workbookViewId="0">
      <selection activeCell="G15" sqref="G15"/>
    </sheetView>
  </sheetViews>
  <sheetFormatPr defaultRowHeight="13.5" x14ac:dyDescent="0.3"/>
  <cols>
    <col min="1" max="1" width="18" bestFit="1" customWidth="1"/>
  </cols>
  <sheetData>
    <row r="3" spans="1:3" x14ac:dyDescent="0.3">
      <c r="A3" s="45" t="s">
        <v>821</v>
      </c>
    </row>
    <row r="4" spans="1:3" x14ac:dyDescent="0.3">
      <c r="A4" s="43" t="s">
        <v>137</v>
      </c>
      <c r="C4" t="s">
        <v>823</v>
      </c>
    </row>
    <row r="5" spans="1:3" x14ac:dyDescent="0.3">
      <c r="A5" s="43" t="s">
        <v>493</v>
      </c>
    </row>
    <row r="6" spans="1:3" x14ac:dyDescent="0.3">
      <c r="A6" s="43" t="s">
        <v>592</v>
      </c>
    </row>
    <row r="7" spans="1:3" x14ac:dyDescent="0.3">
      <c r="A7" s="43" t="s">
        <v>497</v>
      </c>
    </row>
    <row r="8" spans="1:3" x14ac:dyDescent="0.3">
      <c r="A8" s="43" t="s">
        <v>125</v>
      </c>
      <c r="C8" t="s">
        <v>824</v>
      </c>
    </row>
    <row r="9" spans="1:3" x14ac:dyDescent="0.3">
      <c r="A9" s="43" t="s">
        <v>367</v>
      </c>
      <c r="C9" t="s">
        <v>832</v>
      </c>
    </row>
    <row r="10" spans="1:3" x14ac:dyDescent="0.3">
      <c r="A10" s="43" t="s">
        <v>299</v>
      </c>
      <c r="C10" t="s">
        <v>825</v>
      </c>
    </row>
    <row r="11" spans="1:3" x14ac:dyDescent="0.3">
      <c r="A11" s="43" t="s">
        <v>353</v>
      </c>
    </row>
    <row r="12" spans="1:3" x14ac:dyDescent="0.3">
      <c r="A12" s="43" t="s">
        <v>386</v>
      </c>
      <c r="C12" t="s">
        <v>826</v>
      </c>
    </row>
    <row r="13" spans="1:3" x14ac:dyDescent="0.3">
      <c r="A13" s="43" t="s">
        <v>302</v>
      </c>
    </row>
    <row r="14" spans="1:3" x14ac:dyDescent="0.3">
      <c r="A14" s="43" t="s">
        <v>68</v>
      </c>
      <c r="C14" t="s">
        <v>827</v>
      </c>
    </row>
    <row r="15" spans="1:3" x14ac:dyDescent="0.3">
      <c r="A15" s="43" t="s">
        <v>11</v>
      </c>
      <c r="C15" t="s">
        <v>828</v>
      </c>
    </row>
    <row r="16" spans="1:3" x14ac:dyDescent="0.3">
      <c r="A16" s="43" t="s">
        <v>371</v>
      </c>
    </row>
    <row r="17" spans="1:3" x14ac:dyDescent="0.3">
      <c r="A17" s="43" t="s">
        <v>313</v>
      </c>
    </row>
    <row r="18" spans="1:3" x14ac:dyDescent="0.3">
      <c r="A18" s="43" t="s">
        <v>249</v>
      </c>
      <c r="C18" t="s">
        <v>829</v>
      </c>
    </row>
    <row r="19" spans="1:3" x14ac:dyDescent="0.3">
      <c r="A19" s="43" t="s">
        <v>517</v>
      </c>
      <c r="C19" t="s">
        <v>830</v>
      </c>
    </row>
    <row r="20" spans="1:3" x14ac:dyDescent="0.3">
      <c r="A20" s="43" t="s">
        <v>18</v>
      </c>
      <c r="C20" t="s">
        <v>831</v>
      </c>
    </row>
    <row r="21" spans="1:3" x14ac:dyDescent="0.3">
      <c r="A21" s="43" t="s">
        <v>822</v>
      </c>
    </row>
    <row r="22" spans="1:3" x14ac:dyDescent="0.3">
      <c r="A22" s="43" t="s">
        <v>725</v>
      </c>
    </row>
  </sheetData>
  <phoneticPr fontId="3" type="noConversion"/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2026年费控系统预算数据收集表</vt:lpstr>
      <vt:lpstr>Sheet4</vt:lpstr>
      <vt:lpstr>Sheet3</vt:lpstr>
      <vt:lpstr>事业部生产单元对照表</vt:lpstr>
      <vt:lpstr>公司代码公司名称对照表</vt:lpstr>
      <vt:lpstr>2026年费控系统预算数据收集表 (2)</vt:lpstr>
      <vt:lpstr>一级部门对照表</vt:lpstr>
      <vt:lpstr>Sheet5</vt:lpstr>
      <vt:lpstr>费控系统预算科目明细表</vt:lpstr>
      <vt:lpstr>Sheet6</vt:lpstr>
      <vt:lpstr>Sheet2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2025-12-30T13:07:34Z</dcterms:modified>
</cp:coreProperties>
</file>